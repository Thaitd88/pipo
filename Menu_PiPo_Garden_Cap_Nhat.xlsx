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AI\Restaurant\"/>
    </mc:Choice>
  </mc:AlternateContent>
  <xr:revisionPtr revIDLastSave="0" documentId="8_{1AA87C6D-6B75-4BD5-81FB-A6BEE6A0A2DF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Danh Mục Thực Đơn Pipo Garde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5" i="1"/>
  <c r="I4" i="1"/>
  <c r="I3" i="1"/>
  <c r="I2" i="1"/>
</calcChain>
</file>

<file path=xl/sharedStrings.xml><?xml version="1.0" encoding="utf-8"?>
<sst xmlns="http://schemas.openxmlformats.org/spreadsheetml/2006/main" count="537" uniqueCount="339">
  <si>
    <t>Mã món (ID)</t>
  </si>
  <si>
    <t>Nhóm món</t>
  </si>
  <si>
    <t>Tên món ăn / Dịch vụ</t>
  </si>
  <si>
    <t>Vị / Cách chế biến</t>
  </si>
  <si>
    <t>Quy cách / Định lượng phần</t>
  </si>
  <si>
    <t>Định lượng NVL chính (BOM)</t>
  </si>
  <si>
    <t>Giá bán (VNĐ)</t>
  </si>
  <si>
    <t>Giá cost NVL (VNĐ)</t>
  </si>
  <si>
    <t>% Cost/Giá</t>
  </si>
  <si>
    <t>Quầy chế biến</t>
  </si>
  <si>
    <t>Phân hệ Menu</t>
  </si>
  <si>
    <t>Trạng thái bán</t>
  </si>
  <si>
    <t>Tên file ảnh trong folder</t>
  </si>
  <si>
    <t>Đường dẫn ảnh cục bộ trên máy</t>
  </si>
  <si>
    <t>Link ảnh Web (Online)</t>
  </si>
  <si>
    <t>Mô tả món ăn</t>
  </si>
  <si>
    <t>140</t>
  </si>
  <si>
    <t>🥗 Khai Vị</t>
  </si>
  <si>
    <t>Đĩa 300g</t>
  </si>
  <si>
    <t>Khoai Tây Cọng Đông Lạnh: 0.3 kg</t>
  </si>
  <si>
    <t>Bếp Nóng</t>
  </si>
  <si>
    <t>Nhà Hàng</t>
  </si>
  <si>
    <t>Đang bán</t>
  </si>
  <si>
    <t>khoai_tay_chien.jpg</t>
  </si>
  <si>
    <t>D:\AI\Restaurant\app\static\dishes\khoai_tay_chien.jpg</t>
  </si>
  <si>
    <t>https://pipogarden.com/static/dishes/khoai_tay_chien.jpg</t>
  </si>
  <si>
    <t>Khai vị khoai tây chiên giòn thơm</t>
  </si>
  <si>
    <t>146</t>
  </si>
  <si>
    <t>Đậu hũ</t>
  </si>
  <si>
    <t>Chiên giòn, Tẩm hành, Chiên sả ớt</t>
  </si>
  <si>
    <t>Đĩa 4 bìa</t>
  </si>
  <si>
    <t>Đậu Hũ Non / Đậu Hũ Trắng: 4.0 bìa</t>
  </si>
  <si>
    <t>dau_hu_chien_gion.jpg</t>
  </si>
  <si>
    <t>D:\AI\Restaurant\app\static\dishes\dau_hu_chien_gion.jpg</t>
  </si>
  <si>
    <t>https://pipogarden.com/static/dishes/dau_hu_chien_gion.jpg</t>
  </si>
  <si>
    <t>Đậu hũ non chiên giòn rụm, tẩm hành hoặc sả ớt</t>
  </si>
  <si>
    <t>147</t>
  </si>
  <si>
    <t>Khoai môn</t>
  </si>
  <si>
    <t>Chiên nước mắm, Chiên giòn</t>
  </si>
  <si>
    <t>Đĩa 350g</t>
  </si>
  <si>
    <t>Khoai Môn Cao Sản: 0.35 kg</t>
  </si>
  <si>
    <t>khoai_mon_chien_nuoc_mam.jpg</t>
  </si>
  <si>
    <t>D:\AI\Restaurant\app\static\dishes\khoai_mon_chien_nuoc_mam.jpg</t>
  </si>
  <si>
    <t>https://pipogarden.com/static/dishes/khoai_mon_chien_nuoc_mam.jpg</t>
  </si>
  <si>
    <t>Khoai môn chiên nước mắm đậm đà bùi thơm</t>
  </si>
  <si>
    <t>143</t>
  </si>
  <si>
    <t>Rau muống</t>
  </si>
  <si>
    <t>Xào tỏi, Luộc</t>
  </si>
  <si>
    <t>Đĩa 400g</t>
  </si>
  <si>
    <t>Rau Muống Tươi Nhặt Sẵn: 0.401 kg</t>
  </si>
  <si>
    <t>rau_muong_xao_toi.jpg</t>
  </si>
  <si>
    <t>D:\AI\Restaurant\app\static\dishes\rau_muong_xao_toi.jpg</t>
  </si>
  <si>
    <t>https://pipogarden.com/static/dishes/rau_muong_xao_toi.jpg</t>
  </si>
  <si>
    <t>Rau muống xanh giòn xào tỏi thơm lừng</t>
  </si>
  <si>
    <t>144</t>
  </si>
  <si>
    <t>Cải thìa</t>
  </si>
  <si>
    <t>Sốt dầu hào, Xào tỏi, Luộc</t>
  </si>
  <si>
    <t>Cải Thìa Đà Lạt: 0.4 kg</t>
  </si>
  <si>
    <t>Bếp Lạnh</t>
  </si>
  <si>
    <t>cai_thia_sot_dau_hao.jpg</t>
  </si>
  <si>
    <t>D:\AI\Restaurant\app\static\dishes\cai_thia_sot_dau_hao.jpg</t>
  </si>
  <si>
    <t>https://pipogarden.com/static/dishes/cai_thia_sot_dau_hao.jpg</t>
  </si>
  <si>
    <t>Cải thìa Đà Lạt sốt dầu hào tỏi thơm béo</t>
  </si>
  <si>
    <t>MỚI</t>
  </si>
  <si>
    <t>Cà tím</t>
  </si>
  <si>
    <t>Chiên nước mắm</t>
  </si>
  <si>
    <t>Cà Tím Tươi: 0.35 kg</t>
  </si>
  <si>
    <t>ca_tim_chien_nuoc_mam.jpg</t>
  </si>
  <si>
    <t>D:\AI\Restaurant\app\static\dishes\ca_tim_chien_nuoc_mam.jpg</t>
  </si>
  <si>
    <t>https://pipogarden.com/static/dishes/ca_tim_chien_nuoc_mam.jpg</t>
  </si>
  <si>
    <t>Cà tím chiên nước mắm thơm giòn đậm vị</t>
  </si>
  <si>
    <t>142</t>
  </si>
  <si>
    <t>Gỏi xoài khô mực</t>
  </si>
  <si>
    <t>Tiêu chuẩn</t>
  </si>
  <si>
    <t>Xoài Xanh Keo: 0.3kg; Khô Mực: 0.04kg</t>
  </si>
  <si>
    <t>goi_xoai_kho_muc.jpg</t>
  </si>
  <si>
    <t>D:\AI\Restaurant\app\static\dishes\goi_xoai_kho_muc.jpg</t>
  </si>
  <si>
    <t>https://pipogarden.com/static/dishes/goi_xoai_kho_muc.jpg</t>
  </si>
  <si>
    <t>Gỏi xoài xanh chua ngọt trộn khô mực nướng xé sợi</t>
  </si>
  <si>
    <t>🥩 Heo - Bò</t>
  </si>
  <si>
    <t>Bò lúc lắc</t>
  </si>
  <si>
    <t>Kèm khoai tây chiên</t>
  </si>
  <si>
    <t>Đĩa 250g bò</t>
  </si>
  <si>
    <t>Thịt Bò Thăn Mềm: 0.25 kg; Khoai tây: 0.1 kg</t>
  </si>
  <si>
    <t>bo_luc_lac.jpg</t>
  </si>
  <si>
    <t>D:\AI\Restaurant\app\static\dishes\bo_luc_lac.jpg</t>
  </si>
  <si>
    <t>https://pipogarden.com/static/dishes/bo_luc_lac.jpg</t>
  </si>
  <si>
    <t>Bò thăn lúc lắc mềm ngon kèm khoai tây chiên</t>
  </si>
  <si>
    <t>Phần 300g</t>
  </si>
  <si>
    <t>Thịt Bò Thăn Tảng: 0.3 kg</t>
  </si>
  <si>
    <t>bo_nuong_tang.jpg</t>
  </si>
  <si>
    <t>D:\AI\Restaurant\app\static\dishes\bo_nuong_tang.jpg</t>
  </si>
  <si>
    <t>https://pipogarden.com/static/dishes/bo_nuong_tang.jpg</t>
  </si>
  <si>
    <t>Bò nướng tảng than hoa thơm lừng mọng nước</t>
  </si>
  <si>
    <t>145</t>
  </si>
  <si>
    <t>Bò sốt tiêu đen</t>
  </si>
  <si>
    <t>Gói chuẩn bị sẵn 250g</t>
  </si>
  <si>
    <t>Gói Bò Xuyên Tiêu Chuẩn Bị Sẵn: 1.0 gói</t>
  </si>
  <si>
    <t>bo_xuyen_tieu.jpg</t>
  </si>
  <si>
    <t>D:\AI\Restaurant\app\static\dishes\bo_xuyen_tieu.jpg</t>
  </si>
  <si>
    <t>https://pipogarden.com/static/dishes/bo_xuyen_tieu.jpg</t>
  </si>
  <si>
    <t>Bò mềm quyện sốt tiêu đen Phú Quốc đặc sản</t>
  </si>
  <si>
    <t>Bò cháy tỏi</t>
  </si>
  <si>
    <t>Đĩa 250g</t>
  </si>
  <si>
    <t>Thịt Bò Thăn Mềm: 0.25 kg; Tỏi củ: 0.05 kg</t>
  </si>
  <si>
    <t>bo_chay_toi.jpg</t>
  </si>
  <si>
    <t>D:\AI\Restaurant\app\static\dishes\bo_chay_toi.jpg</t>
  </si>
  <si>
    <t>https://pipogarden.com/static/dishes/bo_chay_toi.jpg</t>
  </si>
  <si>
    <t>Bò thăn mềm xào tỏi phi giòn rụm</t>
  </si>
  <si>
    <t>Bò xào rau muống</t>
  </si>
  <si>
    <t>Đĩa 200g bò + rau</t>
  </si>
  <si>
    <t>Thịt Bò Thăn: 0.15 kg; Rau muống: 0.3 kg</t>
  </si>
  <si>
    <t>bo_xao_rau_muong.jpg</t>
  </si>
  <si>
    <t>D:\AI\Restaurant\app\static\dishes\bo_xao_rau_muong.jpg</t>
  </si>
  <si>
    <t>https://pipogarden.com/static/dishes/bo_xao_rau_muong.jpg</t>
  </si>
  <si>
    <t>Bò xào rau muống đồng giòn ngọt đậm đà</t>
  </si>
  <si>
    <t>148</t>
  </si>
  <si>
    <t>🍗 Gà - Vịt</t>
  </si>
  <si>
    <t>Gà 1 con (1.3kg)</t>
  </si>
  <si>
    <t>Gà Đen H'Mông Thả Vườn: 1.301 kg</t>
  </si>
  <si>
    <t>ga_en_nguyen_con.jpg</t>
  </si>
  <si>
    <t>D:\AI\Restaurant\app\static\dishes\ga_en_nguyen_con.jpg</t>
  </si>
  <si>
    <t>https://pipogarden.com/static/dishes/ga_en_nguyen_con.jpg</t>
  </si>
  <si>
    <t>150</t>
  </si>
  <si>
    <t>Gà ta nguyên con</t>
  </si>
  <si>
    <t>Luộc kèm cháo, Hấp hành, Hấp mắm nhĩ, Chiên mắm, Nấu chanh ớt, Nướng muối ớt</t>
  </si>
  <si>
    <t>Gà 1 con (1.3kg) + cháo/lòng mề</t>
  </si>
  <si>
    <t>Gà Ta Thả Vườn Làm Sạch: 1.301 kg</t>
  </si>
  <si>
    <t>ga_nuong_muoi_ot_long_me_xao.jpg</t>
  </si>
  <si>
    <t>D:\AI\Restaurant\app\static\dishes\ga_nuong_muoi_ot_long_me_xao.jpg</t>
  </si>
  <si>
    <t>https://pipogarden.com/static/dishes/ga_nuong_muoi_ot_long_me_xao.jpg</t>
  </si>
  <si>
    <t>Gà ta thả vườn Phú Quốc thịt chắc ngọt thơm ngon</t>
  </si>
  <si>
    <t>157</t>
  </si>
  <si>
    <t>Cánh gà</t>
  </si>
  <si>
    <t>Dĩa 3 cái (400g)</t>
  </si>
  <si>
    <t>Cánh Gà Tươi Chọn Lọc: 0.4 kg</t>
  </si>
  <si>
    <t>canh_ga_nuong_muoi_ot.jpg</t>
  </si>
  <si>
    <t>D:\AI\Restaurant\app\static\dishes\canh_ga_nuong_muoi_ot.jpg</t>
  </si>
  <si>
    <t>https://pipogarden.com/static/dishes/canh_ga_nuong_muoi_ot.jpg</t>
  </si>
  <si>
    <t>Cánh gà tươi giòn rụm đậm đà hương vị</t>
  </si>
  <si>
    <t>160</t>
  </si>
  <si>
    <t>Chân gà</t>
  </si>
  <si>
    <t>Dĩa 5 cặp</t>
  </si>
  <si>
    <t>Chân Gà Tươi Chọn Lọc: 0.35 kg</t>
  </si>
  <si>
    <t>chan_ga_nuong.jpg</t>
  </si>
  <si>
    <t>D:\AI\Restaurant\app\static\dishes\chan_ga_nuong.jpg</t>
  </si>
  <si>
    <t>https://pipogarden.com/static/dishes/chan_ga_nuong.jpg</t>
  </si>
  <si>
    <t>Chân gà mạ cháy tỏi, chiên mắm hoặc nướng muối ớt</t>
  </si>
  <si>
    <t>Đùi gà</t>
  </si>
  <si>
    <t>Đĩa 2 đùi lớn</t>
  </si>
  <si>
    <t>Đùi Gà Tỏi Tươi: 0.4 kg</t>
  </si>
  <si>
    <t>dui_ga_sot_mat_ong.jpg</t>
  </si>
  <si>
    <t>D:\AI\Restaurant\app\static\dishes\dui_ga_sot_mat_ong.jpg</t>
  </si>
  <si>
    <t>https://pipogarden.com/static/dishes/dui_ga_sot_mat_ong.jpg</t>
  </si>
  <si>
    <t>Đùi gà nướng sốt mật ong thơm ngọt mọng nước</t>
  </si>
  <si>
    <t>Heo Massage</t>
  </si>
  <si>
    <t>heo_massage.jpg</t>
  </si>
  <si>
    <t>D:\AI\Restaurant\app\static\dishes\heo_massage.jpg</t>
  </si>
  <si>
    <t>https://pipogarden.com/static/dishes/heo_massage.jpg</t>
  </si>
  <si>
    <t>Thịt heo tẩm ướp đặc biệt nướng thơm giòn</t>
  </si>
  <si>
    <t>Má heo</t>
  </si>
  <si>
    <t>Cháy tỏi</t>
  </si>
  <si>
    <t>Má Heo Tươi Chọn Lọc: 0.25 kg</t>
  </si>
  <si>
    <t>ma_heo_chay_toi.jpg</t>
  </si>
  <si>
    <t>D:\AI\Restaurant\app\static\dishes\ma_heo_chay_toi.jpg</t>
  </si>
  <si>
    <t>https://pipogarden.com/static/dishes/ma_heo_chay_toi.jpg</t>
  </si>
  <si>
    <t>Má heo giòn ngậy xào cháy tỏi thơm lừng</t>
  </si>
  <si>
    <t>201</t>
  </si>
  <si>
    <t>Sườn heo</t>
  </si>
  <si>
    <t>Sốt chua ngọt, Nướng muối ớt, BBQ, Chiên mắm</t>
  </si>
  <si>
    <t>Dĩa 400g</t>
  </si>
  <si>
    <t>Sườn Heo Que Tươi: 0.4 kg</t>
  </si>
  <si>
    <t>suon_heo_nuong_muoi_ot.jpg</t>
  </si>
  <si>
    <t>D:\AI\Restaurant\app\static\dishes\suon_heo_nuong_muoi_ot.jpg</t>
  </si>
  <si>
    <t>https://pipogarden.com/static/dishes/suon_heo_nuong_muoi_ot.jpg</t>
  </si>
  <si>
    <t>Sườn heo que nướng than hoa đậm đà thơm phức</t>
  </si>
  <si>
    <t>161</t>
  </si>
  <si>
    <t>Ba chỉ heo</t>
  </si>
  <si>
    <t>Nướng riềng mẻ, Chiên giòn, Chiên nước mắm, Nướng muối ớt</t>
  </si>
  <si>
    <t>Dĩa 350g</t>
  </si>
  <si>
    <t>Thịt Chân Giò / Ba Chỉ Heo: 0.35 kg</t>
  </si>
  <si>
    <t>heo_nuong_gieng_me.jpg</t>
  </si>
  <si>
    <t>D:\AI\Restaurant\app\static\dishes\heo_nuong_gieng_me.jpg</t>
  </si>
  <si>
    <t>https://pipogarden.com/static/dishes/heo_nuong_gieng_me.jpg</t>
  </si>
  <si>
    <t>Ba chỉ heo nướng riềng mẻ hoặc chiên mắm giòn rụm</t>
  </si>
  <si>
    <t>🦐 Hải Sản</t>
  </si>
  <si>
    <t>Sốt trứng muối, Rang muối, Cháy tỏi, Hấp sả, Sốt XO</t>
  </si>
  <si>
    <t>Sò Huyết Tươi Sống: 0.35 kg</t>
  </si>
  <si>
    <t>so_huyet_sot_trung_muoi.jpg</t>
  </si>
  <si>
    <t>D:\AI\Restaurant\app\static\dishes\so_huyet_sot_trung_muoi.jpg</t>
  </si>
  <si>
    <t>https://pipogarden.com/static/dishes/so_huyet_sot_trung_muoi.jpg</t>
  </si>
  <si>
    <t>Sò huyết tươi xào sốt trứng muối béo ngậy</t>
  </si>
  <si>
    <t>167</t>
  </si>
  <si>
    <t>Tôm sú</t>
  </si>
  <si>
    <t>Cháy tỏi, Rang muối HK, Nướng muối ớt, Hấp nước dừa / sả, Sốt bơ tỏi, Chiên xù</t>
  </si>
  <si>
    <t>Đĩa 250g (6-8 con)</t>
  </si>
  <si>
    <t>Tôm Sú / Tôm Thẻ Tươi Phú Quốc: 0.3 kg</t>
  </si>
  <si>
    <t>tom_hap.jpg</t>
  </si>
  <si>
    <t>D:\AI\Restaurant\app\static\dishes\tom_hap.jpg</t>
  </si>
  <si>
    <t>https://pipogarden.com/static/dishes/tom_hap.jpg</t>
  </si>
  <si>
    <t>Tôm sú tươi sống Phú Quốc thịt chắc ngọt đậm đà</t>
  </si>
  <si>
    <t>310</t>
  </si>
  <si>
    <t>Mực ống</t>
  </si>
  <si>
    <t>Chiên nước mắm, Nướng muối ớt, Hấp hành gừng, Xào chua ngọt</t>
  </si>
  <si>
    <t>Mực Ống Tươi Phú Quốc: 0.3 kg</t>
  </si>
  <si>
    <t>muc_ong_hap_hanh_gung.jpg</t>
  </si>
  <si>
    <t>D:\AI\Restaurant\app\static\dishes\muc_ong_hap_hanh_gung.jpg</t>
  </si>
  <si>
    <t>https://pipogarden.com/static/dishes/muc_ong_hap_hanh_gung.jpg</t>
  </si>
  <si>
    <t>Mực ống tươi giòn ngọt chế biến đa dạng</t>
  </si>
  <si>
    <t>164</t>
  </si>
  <si>
    <t>Nghêu</t>
  </si>
  <si>
    <t>Hấp Thái, Hấp sả, Xào lá quế</t>
  </si>
  <si>
    <t>Tô 500g</t>
  </si>
  <si>
    <t>Nghêu Lụa Tươi Sống: 0.35 kg</t>
  </si>
  <si>
    <t>ngheu_hap_sa.jpg</t>
  </si>
  <si>
    <t>D:\AI\Restaurant\app\static\dishes\ngheu_hap_sa.jpg</t>
  </si>
  <si>
    <t>https://pipogarden.com/static/dishes/ngheu_hap_sa.jpg</t>
  </si>
  <si>
    <t>Nghêu lụa hấp sả hoặc hấp Thái ngọt cay thanh mát</t>
  </si>
  <si>
    <t>197</t>
  </si>
  <si>
    <t>Cá Mú 2 Món</t>
  </si>
  <si>
    <t>Con 2.0kg</t>
  </si>
  <si>
    <t>Cá Mú Đen Sống: 2.0 kg</t>
  </si>
  <si>
    <t>ca_mu_2_mon.jpg</t>
  </si>
  <si>
    <t>D:\AI\Restaurant\app\static\dishes\ca_mu_2_mon.jpg</t>
  </si>
  <si>
    <t>https://pipogarden.com/static/dishes/ca_mu_2_mon.jpg</t>
  </si>
  <si>
    <t>Cá mú sống chế biến 2 món hấp Hồng Kông &amp; nấu lẩu</t>
  </si>
  <si>
    <t>Cá chim biển</t>
  </si>
  <si>
    <t>Con 800g</t>
  </si>
  <si>
    <t>Cá Chim Biển Tươi: 0.8 kg</t>
  </si>
  <si>
    <t>ca_chim_bien_nuong.jpg</t>
  </si>
  <si>
    <t>D:\AI\Restaurant\app\static\dishes\ca_chim_bien_nuong.jpg</t>
  </si>
  <si>
    <t>https://pipogarden.com/static/dishes/ca_chim_bien_nuong.jpg</t>
  </si>
  <si>
    <t>Cá chim biển tươi nướng muối ớt thơm giòn</t>
  </si>
  <si>
    <t>162</t>
  </si>
  <si>
    <t>Hàu nướng phô mai / mỡ hành</t>
  </si>
  <si>
    <t>Nướng phô mai, Nướng mỡ hành</t>
  </si>
  <si>
    <t>Con lớn</t>
  </si>
  <si>
    <t>Hàu Sữa Đại Dương Tươi: 1.0 con</t>
  </si>
  <si>
    <t>hau_nuong_pho_mai.jpg</t>
  </si>
  <si>
    <t>D:\AI\Restaurant\app\static\dishes\hau_nuong_pho_mai.jpg</t>
  </si>
  <si>
    <t>https://pipogarden.com/static/dishes/hau_nuong_pho_mai.jpg</t>
  </si>
  <si>
    <t>Hàu sữa đại dương nướng phô mai béo ngậy</t>
  </si>
  <si>
    <t>181</t>
  </si>
  <si>
    <t>🍚 Cơm - Mì</t>
  </si>
  <si>
    <t>Xào hải sản, Xào bò</t>
  </si>
  <si>
    <t>Đĩa lớn 2 vắt</t>
  </si>
  <si>
    <t>Mì Vàng Tươi / Mì Trứng: 2.0 vắt; Hải sản/Bò: 0.1 kg</t>
  </si>
  <si>
    <t>mi_xao_hai_san.jpg</t>
  </si>
  <si>
    <t>D:\AI\Restaurant\app\static\dishes\mi_xao_hai_san.jpg</t>
  </si>
  <si>
    <t>https://pipogarden.com/static/dishes/mi_xao_hai_san.jpg</t>
  </si>
  <si>
    <t>Mì trứng xào hải sản hoặc xào bò đậm đà</t>
  </si>
  <si>
    <t>180</t>
  </si>
  <si>
    <t>Cơm chiên</t>
  </si>
  <si>
    <t>Đĩa lớn 250g</t>
  </si>
  <si>
    <t>Gạo Thơm ST25: 0.25 kg; Hải sản/Bò: 0.08 kg</t>
  </si>
  <si>
    <t>com_chien_ghe.jpg</t>
  </si>
  <si>
    <t>D:\AI\Restaurant\app\static\dishes\com_chien_ghe.jpg</t>
  </si>
  <si>
    <t>https://pipogarden.com/static/dishes/com_chien_ghe.jpg</t>
  </si>
  <si>
    <t>Cơm chiên hạt vàng ươm tơi xốp kèm hải sản/cá mặn</t>
  </si>
  <si>
    <t>🍲 Súp - Cháo</t>
  </si>
  <si>
    <t>Súp hải sản, Súp bào ngư</t>
  </si>
  <si>
    <t>Tô vừa</t>
  </si>
  <si>
    <t>Hải sản / Bào ngư tươi: 0.1 kg</t>
  </si>
  <si>
    <t>sup_hai_san.jpg</t>
  </si>
  <si>
    <t>D:\AI\Restaurant\app\static\dishes\sup_hai_san.jpg</t>
  </si>
  <si>
    <t>https://pipogarden.com/static/dishes/sup_hai_san.jpg</t>
  </si>
  <si>
    <t>Súp hải sản thanh ngọt thơm ngon</t>
  </si>
  <si>
    <t>Cháo hải sản, Cháo bò băm, Cháo bào ngư</t>
  </si>
  <si>
    <t>Tô lớn</t>
  </si>
  <si>
    <t>Gạo thơm ST25: 0.1 kg; Nhân: 0.1 kg</t>
  </si>
  <si>
    <t>chao_hai_san.jpg</t>
  </si>
  <si>
    <t>D:\AI\Restaurant\app\static\dishes\chao_hai_san.jpg</t>
  </si>
  <si>
    <t>https://pipogarden.com/static/dishes/chao_hai_san.jpg</t>
  </si>
  <si>
    <t>Cháo nóng hổi nấu sánh mịn thơm ngon</t>
  </si>
  <si>
    <t>Thịt cua tươi: 0.08 kg; Nước dùng TomYum</t>
  </si>
  <si>
    <t>sup_tomyum_cua.jpg</t>
  </si>
  <si>
    <t>D:\AI\Restaurant\app\static\dishes\sup_tomyum_cua.jpg</t>
  </si>
  <si>
    <t>https://pipogarden.com/static/dishes/sup_tomyum_cua.jpg</t>
  </si>
  <si>
    <t>Súp TomYum cua cay nồng chuẩn vị Thái</t>
  </si>
  <si>
    <t>🥘 Món Lẩu</t>
  </si>
  <si>
    <t>Lẩu Thái Hải Sản</t>
  </si>
  <si>
    <t>Nồi lẩu (3-4 người)</t>
  </si>
  <si>
    <t>Hải sản tổng hợp: 0.4 kg; Rau nấm: 0.5 kg</t>
  </si>
  <si>
    <t>lau_thai_hai_san.jpg</t>
  </si>
  <si>
    <t>D:\AI\Restaurant\app\static\dishes\lau_thai_hai_san.jpg</t>
  </si>
  <si>
    <t>https://pipogarden.com/static/dishes/lau_thai_hai_san.jpg</t>
  </si>
  <si>
    <t>Lẩu Thái hải sản chua cay thơm đậm đà</t>
  </si>
  <si>
    <t>Lẩu Gà Chanh Ớt</t>
  </si>
  <si>
    <t>Nồi lẩu</t>
  </si>
  <si>
    <t>Gà ta: 0.7 kg; Ớt xiêm chanh</t>
  </si>
  <si>
    <t>lau_ga_chanh_ot.jpg</t>
  </si>
  <si>
    <t>D:\AI\Restaurant\app\static\dishes\lau_ga_chanh_ot.jpg</t>
  </si>
  <si>
    <t>https://pipogarden.com/static/dishes/lau_ga_chanh_ot.jpg</t>
  </si>
  <si>
    <t>Lẩu gà chanh ớt xiêm xanh cay thơm nức</t>
  </si>
  <si>
    <t>Lẩu Cá Chim / Cá Mú</t>
  </si>
  <si>
    <t>Nấu ngọt, Nấu Thái</t>
  </si>
  <si>
    <t>Nồi lẩu 1 con</t>
  </si>
  <si>
    <t>Cá tươi: 0.8 kg; Rau nấm lẩu</t>
  </si>
  <si>
    <t>lau_ca_chim.jpg</t>
  </si>
  <si>
    <t>D:\AI\Restaurant\app\static\dishes\lau_ca_chim.jpg</t>
  </si>
  <si>
    <t>https://pipogarden.com/static/dishes/lau_ca_chim.jpg</t>
  </si>
  <si>
    <t>Lẩu cá tươi nấu ngọt thanh hoặc nấu Thái chua cay</t>
  </si>
  <si>
    <t>Khoai tây</t>
  </si>
  <si>
    <t>Chiên, Xốc bơ sữa</t>
  </si>
  <si>
    <t>Sườn bò</t>
  </si>
  <si>
    <t>Gà đen nguyên con</t>
  </si>
  <si>
    <t>Gà đen thả vườn da giòn thịt ngọt bổ dưỡng</t>
  </si>
  <si>
    <t>Chiên nước mắm, Nướng muối ớt.</t>
  </si>
  <si>
    <t>Cháy tỏi, Chiên mắm, Nướng muối ớt</t>
  </si>
  <si>
    <t>Sốt mật ong, Sốt mắm tỏi, Nướng BBQ</t>
  </si>
  <si>
    <t>🥩 Best Seller</t>
  </si>
  <si>
    <t>Tôm khô rang muối hạt</t>
  </si>
  <si>
    <t>Dĩa 100g</t>
  </si>
  <si>
    <t>Tôm khô size lớn 100g</t>
  </si>
  <si>
    <t>Khô Mực Núp Lùm</t>
  </si>
  <si>
    <t>Khô mực size 40-50c/kg 100g</t>
  </si>
  <si>
    <t>Chả giò hải sản</t>
  </si>
  <si>
    <t>Dĩa 4 cuộn</t>
  </si>
  <si>
    <t>Hải sản, rau quả</t>
  </si>
  <si>
    <t>Miến xào hải sản X.O</t>
  </si>
  <si>
    <t>Dĩa 80g miến khô, hải sản</t>
  </si>
  <si>
    <t>Hải sản, miến khô, sốt xo</t>
  </si>
  <si>
    <t>Cơm Chiên Tôm X.O</t>
  </si>
  <si>
    <t>Dĩa 150 cơm, tôm tươi</t>
  </si>
  <si>
    <t>Cơm gạo ngon, tôm sú tươi 100g, miến đậu xanh</t>
  </si>
  <si>
    <t>Thịt nọng heo tươi : 0.45kg</t>
  </si>
  <si>
    <t>Nướng Sốt BBQ, Nướng sốt mắm nhĩ</t>
  </si>
  <si>
    <t>Hấp mắm nhĩ, Chiên mắm, Nướng muối ớt</t>
  </si>
  <si>
    <t>Ốc Hương</t>
  </si>
  <si>
    <t>Hấp Hồng Kông, Nấu lẩu, Chiên xù, nấu cháo, sashimi</t>
  </si>
  <si>
    <t>Nướng muối ớt, Hấp Hồng Kông, nấu lẩu</t>
  </si>
  <si>
    <t>Mì xào</t>
  </si>
  <si>
    <t>Hải sản, Bò, Úp trứng</t>
  </si>
  <si>
    <t>Cải Thìa Đông Cô Sốt Bào Ngư</t>
  </si>
  <si>
    <t>Dĩa 5 con bào ngư</t>
  </si>
  <si>
    <t>Cải thìa,  bào ngư, nấm đông cô</t>
  </si>
  <si>
    <t>Cháo</t>
  </si>
  <si>
    <t xml:space="preserve">Súp </t>
  </si>
  <si>
    <t>Súp Cua TomYum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</si>
</sst>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&quot; đ&quot;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9FBFD"/>
      </patternFill>
    </fill>
    <fill>
      <patternFill patternType="solid">
        <fgColor rgb="FFFFFFFF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/>
    </xf>
    <xf numFmtId="164" fontId="0" fillId="3" borderId="1" xfId="0" applyNumberFormat="1" applyFill="1" applyBorder="1" applyAlignment="1">
      <alignment horizontal="right" vertical="center"/>
    </xf>
    <xf numFmtId="165" fontId="0" fillId="3" borderId="1" xfId="0" applyNumberFormat="1" applyFill="1" applyBorder="1" applyAlignment="1">
      <alignment horizontal="right" vertical="center"/>
    </xf>
    <xf numFmtId="0" fontId="0" fillId="4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left" vertical="center"/>
    </xf>
    <xf numFmtId="164" fontId="0" fillId="4" borderId="1" xfId="0" applyNumberFormat="1" applyFill="1" applyBorder="1" applyAlignment="1">
      <alignment horizontal="right" vertical="center"/>
    </xf>
    <xf numFmtId="165" fontId="0" fillId="4" borderId="1" xfId="0" applyNumberFormat="1" applyFill="1" applyBorder="1" applyAlignment="1">
      <alignment horizontal="right" vertical="center"/>
    </xf>
    <xf numFmtId="0" fontId="0" fillId="3" borderId="2" xfId="0" applyFill="1" applyBorder="1" applyAlignment="1">
      <alignment horizontal="left" vertical="center"/>
    </xf>
    <xf numFmtId="164" fontId="0" fillId="3" borderId="2" xfId="0" applyNumberFormat="1" applyFill="1" applyBorder="1" applyAlignment="1">
      <alignment horizontal="right" vertical="center"/>
    </xf>
    <xf numFmtId="165" fontId="0" fillId="3" borderId="2" xfId="0" applyNumberFormat="1" applyFill="1" applyBorder="1" applyAlignment="1">
      <alignment horizontal="right" vertical="center"/>
    </xf>
    <xf numFmtId="0" fontId="0" fillId="4" borderId="2" xfId="0" applyFill="1" applyBorder="1" applyAlignment="1">
      <alignment horizontal="left" vertical="center"/>
    </xf>
    <xf numFmtId="164" fontId="0" fillId="4" borderId="2" xfId="0" applyNumberFormat="1" applyFill="1" applyBorder="1" applyAlignment="1">
      <alignment horizontal="right" vertical="center"/>
    </xf>
    <xf numFmtId="165" fontId="0" fillId="4" borderId="2" xfId="0" applyNumberForma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3"/>
  <sheetViews>
    <sheetView tabSelected="1" topLeftCell="B15" zoomScale="81" workbookViewId="0">
      <selection activeCell="D31" sqref="D31"/>
    </sheetView>
  </sheetViews>
  <sheetFormatPr defaultRowHeight="14.25" x14ac:dyDescent="0.45"/>
  <cols>
    <col min="1" max="1" width="12" customWidth="1"/>
    <col min="2" max="2" width="16" customWidth="1"/>
    <col min="3" max="3" width="26" customWidth="1"/>
    <col min="4" max="4" width="61.3984375" customWidth="1"/>
    <col min="5" max="5" width="22" customWidth="1"/>
    <col min="6" max="6" width="38" customWidth="1"/>
    <col min="7" max="8" width="16" customWidth="1"/>
    <col min="9" max="10" width="14" customWidth="1"/>
    <col min="11" max="11" width="12" customWidth="1"/>
    <col min="12" max="12" width="14" customWidth="1"/>
    <col min="13" max="13" width="28" customWidth="1"/>
    <col min="14" max="15" width="45" customWidth="1"/>
    <col min="16" max="16" width="38" customWidth="1"/>
  </cols>
  <sheetData>
    <row r="1" spans="1:16" ht="28.5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45">
      <c r="A2" s="2" t="s">
        <v>16</v>
      </c>
      <c r="B2" s="3" t="s">
        <v>17</v>
      </c>
      <c r="C2" s="3" t="s">
        <v>302</v>
      </c>
      <c r="D2" s="3" t="s">
        <v>303</v>
      </c>
      <c r="E2" s="3" t="s">
        <v>18</v>
      </c>
      <c r="F2" s="3" t="s">
        <v>19</v>
      </c>
      <c r="G2" s="4">
        <v>79000</v>
      </c>
      <c r="H2" s="4">
        <v>15600</v>
      </c>
      <c r="I2" s="5">
        <f t="shared" ref="I2:I43" si="0">H2/G2</f>
        <v>0.19746835443037974</v>
      </c>
      <c r="J2" s="2" t="s">
        <v>20</v>
      </c>
      <c r="K2" s="2" t="s">
        <v>21</v>
      </c>
      <c r="L2" s="2" t="s">
        <v>22</v>
      </c>
      <c r="M2" s="3" t="s">
        <v>23</v>
      </c>
      <c r="N2" s="3" t="s">
        <v>24</v>
      </c>
      <c r="O2" s="3" t="s">
        <v>25</v>
      </c>
      <c r="P2" s="3" t="s">
        <v>26</v>
      </c>
    </row>
    <row r="3" spans="1:16" x14ac:dyDescent="0.45">
      <c r="A3" s="6" t="s">
        <v>27</v>
      </c>
      <c r="B3" s="7" t="s">
        <v>17</v>
      </c>
      <c r="C3" s="7" t="s">
        <v>28</v>
      </c>
      <c r="D3" s="7" t="s">
        <v>29</v>
      </c>
      <c r="E3" s="7" t="s">
        <v>30</v>
      </c>
      <c r="F3" s="7" t="s">
        <v>31</v>
      </c>
      <c r="G3" s="8">
        <v>79000</v>
      </c>
      <c r="H3" s="8">
        <v>16000</v>
      </c>
      <c r="I3" s="9">
        <f t="shared" si="0"/>
        <v>0.20253164556962025</v>
      </c>
      <c r="J3" s="6" t="s">
        <v>20</v>
      </c>
      <c r="K3" s="6" t="s">
        <v>21</v>
      </c>
      <c r="L3" s="6" t="s">
        <v>22</v>
      </c>
      <c r="M3" s="7" t="s">
        <v>32</v>
      </c>
      <c r="N3" s="7" t="s">
        <v>33</v>
      </c>
      <c r="O3" s="7" t="s">
        <v>34</v>
      </c>
      <c r="P3" s="7" t="s">
        <v>35</v>
      </c>
    </row>
    <row r="4" spans="1:16" x14ac:dyDescent="0.45">
      <c r="A4" s="2" t="s">
        <v>36</v>
      </c>
      <c r="B4" s="3" t="s">
        <v>17</v>
      </c>
      <c r="C4" s="3" t="s">
        <v>37</v>
      </c>
      <c r="D4" s="3" t="s">
        <v>38</v>
      </c>
      <c r="E4" s="3" t="s">
        <v>39</v>
      </c>
      <c r="F4" s="3" t="s">
        <v>40</v>
      </c>
      <c r="G4" s="4">
        <v>79000</v>
      </c>
      <c r="H4" s="4">
        <v>12250</v>
      </c>
      <c r="I4" s="5">
        <f t="shared" si="0"/>
        <v>0.1550632911392405</v>
      </c>
      <c r="J4" s="2" t="s">
        <v>20</v>
      </c>
      <c r="K4" s="2" t="s">
        <v>21</v>
      </c>
      <c r="L4" s="2" t="s">
        <v>22</v>
      </c>
      <c r="M4" s="3" t="s">
        <v>41</v>
      </c>
      <c r="N4" s="3" t="s">
        <v>42</v>
      </c>
      <c r="O4" s="3" t="s">
        <v>43</v>
      </c>
      <c r="P4" s="3" t="s">
        <v>44</v>
      </c>
    </row>
    <row r="5" spans="1:16" x14ac:dyDescent="0.45">
      <c r="A5" s="6" t="s">
        <v>45</v>
      </c>
      <c r="B5" s="7" t="s">
        <v>17</v>
      </c>
      <c r="C5" s="7" t="s">
        <v>46</v>
      </c>
      <c r="D5" s="7" t="s">
        <v>47</v>
      </c>
      <c r="E5" s="7" t="s">
        <v>48</v>
      </c>
      <c r="F5" s="7" t="s">
        <v>49</v>
      </c>
      <c r="G5" s="8">
        <v>59000</v>
      </c>
      <c r="H5" s="8">
        <v>8020</v>
      </c>
      <c r="I5" s="9">
        <f t="shared" si="0"/>
        <v>0.1359322033898305</v>
      </c>
      <c r="J5" s="6" t="s">
        <v>20</v>
      </c>
      <c r="K5" s="6" t="s">
        <v>21</v>
      </c>
      <c r="L5" s="6" t="s">
        <v>22</v>
      </c>
      <c r="M5" s="7" t="s">
        <v>50</v>
      </c>
      <c r="N5" s="7" t="s">
        <v>51</v>
      </c>
      <c r="O5" s="7" t="s">
        <v>52</v>
      </c>
      <c r="P5" s="7" t="s">
        <v>53</v>
      </c>
    </row>
    <row r="6" spans="1:16" x14ac:dyDescent="0.45">
      <c r="A6" s="6"/>
      <c r="B6" s="7" t="s">
        <v>17</v>
      </c>
      <c r="C6" s="7" t="s">
        <v>333</v>
      </c>
      <c r="D6" s="7" t="s">
        <v>73</v>
      </c>
      <c r="E6" s="7" t="s">
        <v>334</v>
      </c>
      <c r="F6" s="7" t="s">
        <v>335</v>
      </c>
      <c r="G6" s="8">
        <v>200000</v>
      </c>
      <c r="H6" s="8">
        <v>80000</v>
      </c>
      <c r="I6" s="9">
        <f t="shared" si="0"/>
        <v>0.4</v>
      </c>
      <c r="J6" s="6" t="s">
        <v>20</v>
      </c>
      <c r="K6" s="6" t="s">
        <v>21</v>
      </c>
      <c r="L6" s="6" t="s">
        <v>22</v>
      </c>
      <c r="M6" s="7"/>
      <c r="N6" s="7"/>
      <c r="O6" s="7"/>
      <c r="P6" s="7"/>
    </row>
    <row r="7" spans="1:16" x14ac:dyDescent="0.45">
      <c r="A7" s="2" t="s">
        <v>54</v>
      </c>
      <c r="B7" s="3" t="s">
        <v>17</v>
      </c>
      <c r="C7" s="3" t="s">
        <v>55</v>
      </c>
      <c r="D7" s="3" t="s">
        <v>56</v>
      </c>
      <c r="E7" s="3" t="s">
        <v>48</v>
      </c>
      <c r="F7" s="3" t="s">
        <v>57</v>
      </c>
      <c r="G7" s="4">
        <v>59000</v>
      </c>
      <c r="H7" s="4">
        <v>10000</v>
      </c>
      <c r="I7" s="5">
        <f t="shared" si="0"/>
        <v>0.16949152542372881</v>
      </c>
      <c r="J7" s="2" t="s">
        <v>58</v>
      </c>
      <c r="K7" s="2" t="s">
        <v>21</v>
      </c>
      <c r="L7" s="2" t="s">
        <v>22</v>
      </c>
      <c r="M7" s="3" t="s">
        <v>59</v>
      </c>
      <c r="N7" s="3" t="s">
        <v>60</v>
      </c>
      <c r="O7" s="3" t="s">
        <v>61</v>
      </c>
      <c r="P7" s="3" t="s">
        <v>62</v>
      </c>
    </row>
    <row r="8" spans="1:16" x14ac:dyDescent="0.45">
      <c r="A8" s="6" t="s">
        <v>63</v>
      </c>
      <c r="B8" s="7" t="s">
        <v>17</v>
      </c>
      <c r="C8" s="7" t="s">
        <v>64</v>
      </c>
      <c r="D8" s="7" t="s">
        <v>65</v>
      </c>
      <c r="E8" s="7" t="s">
        <v>39</v>
      </c>
      <c r="F8" s="7" t="s">
        <v>66</v>
      </c>
      <c r="G8" s="8">
        <v>69000</v>
      </c>
      <c r="H8" s="8">
        <v>12000</v>
      </c>
      <c r="I8" s="9">
        <f t="shared" si="0"/>
        <v>0.17391304347826086</v>
      </c>
      <c r="J8" s="6" t="s">
        <v>20</v>
      </c>
      <c r="K8" s="6" t="s">
        <v>21</v>
      </c>
      <c r="L8" s="6" t="s">
        <v>22</v>
      </c>
      <c r="M8" s="7" t="s">
        <v>67</v>
      </c>
      <c r="N8" s="7" t="s">
        <v>68</v>
      </c>
      <c r="O8" s="7" t="s">
        <v>69</v>
      </c>
      <c r="P8" s="7" t="s">
        <v>70</v>
      </c>
    </row>
    <row r="9" spans="1:16" x14ac:dyDescent="0.45">
      <c r="A9" s="2" t="s">
        <v>71</v>
      </c>
      <c r="B9" s="3" t="s">
        <v>17</v>
      </c>
      <c r="C9" s="3" t="s">
        <v>72</v>
      </c>
      <c r="D9" s="3" t="s">
        <v>73</v>
      </c>
      <c r="E9" s="3" t="s">
        <v>39</v>
      </c>
      <c r="F9" s="3" t="s">
        <v>74</v>
      </c>
      <c r="G9" s="4">
        <v>99000</v>
      </c>
      <c r="H9" s="4">
        <v>26400</v>
      </c>
      <c r="I9" s="5">
        <f t="shared" si="0"/>
        <v>0.26666666666666666</v>
      </c>
      <c r="J9" s="2" t="s">
        <v>58</v>
      </c>
      <c r="K9" s="2" t="s">
        <v>21</v>
      </c>
      <c r="L9" s="2" t="s">
        <v>22</v>
      </c>
      <c r="M9" s="3" t="s">
        <v>75</v>
      </c>
      <c r="N9" s="3" t="s">
        <v>76</v>
      </c>
      <c r="O9" s="3" t="s">
        <v>77</v>
      </c>
      <c r="P9" s="3" t="s">
        <v>78</v>
      </c>
    </row>
    <row r="10" spans="1:16" x14ac:dyDescent="0.45">
      <c r="A10" s="6" t="s">
        <v>63</v>
      </c>
      <c r="B10" s="7" t="s">
        <v>79</v>
      </c>
      <c r="C10" s="7" t="s">
        <v>80</v>
      </c>
      <c r="D10" s="7" t="s">
        <v>81</v>
      </c>
      <c r="E10" s="7" t="s">
        <v>82</v>
      </c>
      <c r="F10" s="7" t="s">
        <v>83</v>
      </c>
      <c r="G10" s="8">
        <v>180000</v>
      </c>
      <c r="H10" s="8">
        <v>55000</v>
      </c>
      <c r="I10" s="9">
        <f t="shared" si="0"/>
        <v>0.30555555555555558</v>
      </c>
      <c r="J10" s="6" t="s">
        <v>20</v>
      </c>
      <c r="K10" s="6" t="s">
        <v>21</v>
      </c>
      <c r="L10" s="6" t="s">
        <v>22</v>
      </c>
      <c r="M10" s="7" t="s">
        <v>84</v>
      </c>
      <c r="N10" s="7" t="s">
        <v>85</v>
      </c>
      <c r="O10" s="7" t="s">
        <v>86</v>
      </c>
      <c r="P10" s="7" t="s">
        <v>87</v>
      </c>
    </row>
    <row r="11" spans="1:16" x14ac:dyDescent="0.45">
      <c r="A11" s="2" t="s">
        <v>63</v>
      </c>
      <c r="B11" s="3" t="s">
        <v>79</v>
      </c>
      <c r="C11" s="3" t="s">
        <v>304</v>
      </c>
      <c r="D11" s="3" t="s">
        <v>326</v>
      </c>
      <c r="E11" s="3" t="s">
        <v>88</v>
      </c>
      <c r="F11" s="3" t="s">
        <v>89</v>
      </c>
      <c r="G11" s="4">
        <v>220000</v>
      </c>
      <c r="H11" s="4">
        <v>70000</v>
      </c>
      <c r="I11" s="5">
        <f t="shared" si="0"/>
        <v>0.31818181818181818</v>
      </c>
      <c r="J11" s="2" t="s">
        <v>20</v>
      </c>
      <c r="K11" s="2" t="s">
        <v>21</v>
      </c>
      <c r="L11" s="2" t="s">
        <v>22</v>
      </c>
      <c r="M11" s="3" t="s">
        <v>90</v>
      </c>
      <c r="N11" s="3" t="s">
        <v>91</v>
      </c>
      <c r="O11" s="3" t="s">
        <v>92</v>
      </c>
      <c r="P11" s="3" t="s">
        <v>93</v>
      </c>
    </row>
    <row r="12" spans="1:16" x14ac:dyDescent="0.45">
      <c r="A12" s="6" t="s">
        <v>94</v>
      </c>
      <c r="B12" s="3" t="s">
        <v>79</v>
      </c>
      <c r="C12" s="7" t="s">
        <v>95</v>
      </c>
      <c r="D12" s="7" t="s">
        <v>73</v>
      </c>
      <c r="E12" s="7" t="s">
        <v>96</v>
      </c>
      <c r="F12" s="7" t="s">
        <v>97</v>
      </c>
      <c r="G12" s="8">
        <v>279000</v>
      </c>
      <c r="H12" s="8">
        <v>85000</v>
      </c>
      <c r="I12" s="9">
        <f t="shared" si="0"/>
        <v>0.30465949820788529</v>
      </c>
      <c r="J12" s="6" t="s">
        <v>58</v>
      </c>
      <c r="K12" s="6" t="s">
        <v>21</v>
      </c>
      <c r="L12" s="6" t="s">
        <v>22</v>
      </c>
      <c r="M12" s="7" t="s">
        <v>98</v>
      </c>
      <c r="N12" s="7" t="s">
        <v>99</v>
      </c>
      <c r="O12" s="7" t="s">
        <v>100</v>
      </c>
      <c r="P12" s="7" t="s">
        <v>101</v>
      </c>
    </row>
    <row r="13" spans="1:16" x14ac:dyDescent="0.45">
      <c r="A13" s="2" t="s">
        <v>63</v>
      </c>
      <c r="B13" s="3" t="s">
        <v>79</v>
      </c>
      <c r="C13" s="3" t="s">
        <v>102</v>
      </c>
      <c r="D13" s="3" t="s">
        <v>73</v>
      </c>
      <c r="E13" s="3" t="s">
        <v>103</v>
      </c>
      <c r="F13" s="3" t="s">
        <v>104</v>
      </c>
      <c r="G13" s="4">
        <v>180000</v>
      </c>
      <c r="H13" s="4">
        <v>55000</v>
      </c>
      <c r="I13" s="5">
        <f t="shared" si="0"/>
        <v>0.30555555555555558</v>
      </c>
      <c r="J13" s="2" t="s">
        <v>20</v>
      </c>
      <c r="K13" s="2" t="s">
        <v>21</v>
      </c>
      <c r="L13" s="2" t="s">
        <v>22</v>
      </c>
      <c r="M13" s="3" t="s">
        <v>105</v>
      </c>
      <c r="N13" s="3" t="s">
        <v>106</v>
      </c>
      <c r="O13" s="3" t="s">
        <v>107</v>
      </c>
      <c r="P13" s="3" t="s">
        <v>108</v>
      </c>
    </row>
    <row r="14" spans="1:16" x14ac:dyDescent="0.45">
      <c r="A14" s="6" t="s">
        <v>63</v>
      </c>
      <c r="B14" s="7" t="s">
        <v>79</v>
      </c>
      <c r="C14" s="7" t="s">
        <v>109</v>
      </c>
      <c r="D14" s="7" t="s">
        <v>73</v>
      </c>
      <c r="E14" s="7" t="s">
        <v>110</v>
      </c>
      <c r="F14" s="7" t="s">
        <v>111</v>
      </c>
      <c r="G14" s="8">
        <v>150000</v>
      </c>
      <c r="H14" s="8">
        <v>45000</v>
      </c>
      <c r="I14" s="9">
        <f t="shared" si="0"/>
        <v>0.3</v>
      </c>
      <c r="J14" s="6" t="s">
        <v>20</v>
      </c>
      <c r="K14" s="6" t="s">
        <v>21</v>
      </c>
      <c r="L14" s="6" t="s">
        <v>22</v>
      </c>
      <c r="M14" s="7" t="s">
        <v>112</v>
      </c>
      <c r="N14" s="7" t="s">
        <v>113</v>
      </c>
      <c r="O14" s="7" t="s">
        <v>114</v>
      </c>
      <c r="P14" s="7" t="s">
        <v>115</v>
      </c>
    </row>
    <row r="15" spans="1:16" x14ac:dyDescent="0.45">
      <c r="A15" s="2" t="s">
        <v>116</v>
      </c>
      <c r="B15" s="3" t="s">
        <v>117</v>
      </c>
      <c r="C15" s="3" t="s">
        <v>305</v>
      </c>
      <c r="D15" s="3" t="s">
        <v>327</v>
      </c>
      <c r="E15" s="3" t="s">
        <v>118</v>
      </c>
      <c r="F15" s="3" t="s">
        <v>119</v>
      </c>
      <c r="G15" s="4">
        <v>399000</v>
      </c>
      <c r="H15" s="4">
        <v>182140</v>
      </c>
      <c r="I15" s="5">
        <f t="shared" si="0"/>
        <v>0.45649122807017545</v>
      </c>
      <c r="J15" s="2" t="s">
        <v>20</v>
      </c>
      <c r="K15" s="2" t="s">
        <v>21</v>
      </c>
      <c r="L15" s="2" t="s">
        <v>22</v>
      </c>
      <c r="M15" s="3" t="s">
        <v>120</v>
      </c>
      <c r="N15" s="3" t="s">
        <v>121</v>
      </c>
      <c r="O15" s="3" t="s">
        <v>122</v>
      </c>
      <c r="P15" s="3" t="s">
        <v>306</v>
      </c>
    </row>
    <row r="16" spans="1:16" x14ac:dyDescent="0.45">
      <c r="A16" s="6" t="s">
        <v>123</v>
      </c>
      <c r="B16" s="7" t="s">
        <v>117</v>
      </c>
      <c r="C16" s="7" t="s">
        <v>124</v>
      </c>
      <c r="D16" s="7" t="s">
        <v>125</v>
      </c>
      <c r="E16" s="7" t="s">
        <v>126</v>
      </c>
      <c r="F16" s="7" t="s">
        <v>127</v>
      </c>
      <c r="G16" s="8">
        <v>350000</v>
      </c>
      <c r="H16" s="8">
        <v>106682</v>
      </c>
      <c r="I16" s="9">
        <f t="shared" si="0"/>
        <v>0.30480571428571429</v>
      </c>
      <c r="J16" s="6" t="s">
        <v>20</v>
      </c>
      <c r="K16" s="6" t="s">
        <v>21</v>
      </c>
      <c r="L16" s="6" t="s">
        <v>22</v>
      </c>
      <c r="M16" s="7" t="s">
        <v>128</v>
      </c>
      <c r="N16" s="7" t="s">
        <v>129</v>
      </c>
      <c r="O16" s="7" t="s">
        <v>130</v>
      </c>
      <c r="P16" s="7" t="s">
        <v>131</v>
      </c>
    </row>
    <row r="17" spans="1:16" x14ac:dyDescent="0.45">
      <c r="A17" s="2" t="s">
        <v>132</v>
      </c>
      <c r="B17" s="3" t="s">
        <v>117</v>
      </c>
      <c r="C17" s="3" t="s">
        <v>133</v>
      </c>
      <c r="D17" s="3" t="s">
        <v>307</v>
      </c>
      <c r="E17" s="3" t="s">
        <v>134</v>
      </c>
      <c r="F17" s="3" t="s">
        <v>135</v>
      </c>
      <c r="G17" s="4">
        <v>99000</v>
      </c>
      <c r="H17" s="4">
        <v>34000</v>
      </c>
      <c r="I17" s="5">
        <f t="shared" si="0"/>
        <v>0.34343434343434343</v>
      </c>
      <c r="J17" s="2" t="s">
        <v>20</v>
      </c>
      <c r="K17" s="2" t="s">
        <v>21</v>
      </c>
      <c r="L17" s="2" t="s">
        <v>22</v>
      </c>
      <c r="M17" s="3" t="s">
        <v>136</v>
      </c>
      <c r="N17" s="3" t="s">
        <v>137</v>
      </c>
      <c r="O17" s="3" t="s">
        <v>138</v>
      </c>
      <c r="P17" s="3" t="s">
        <v>139</v>
      </c>
    </row>
    <row r="18" spans="1:16" x14ac:dyDescent="0.45">
      <c r="A18" s="6" t="s">
        <v>140</v>
      </c>
      <c r="B18" s="7" t="s">
        <v>117</v>
      </c>
      <c r="C18" s="7" t="s">
        <v>141</v>
      </c>
      <c r="D18" s="7" t="s">
        <v>308</v>
      </c>
      <c r="E18" s="7" t="s">
        <v>142</v>
      </c>
      <c r="F18" s="7" t="s">
        <v>143</v>
      </c>
      <c r="G18" s="8">
        <v>79000</v>
      </c>
      <c r="H18" s="8">
        <v>28000</v>
      </c>
      <c r="I18" s="9">
        <f t="shared" si="0"/>
        <v>0.35443037974683544</v>
      </c>
      <c r="J18" s="6" t="s">
        <v>20</v>
      </c>
      <c r="K18" s="6" t="s">
        <v>21</v>
      </c>
      <c r="L18" s="6" t="s">
        <v>22</v>
      </c>
      <c r="M18" s="7" t="s">
        <v>144</v>
      </c>
      <c r="N18" s="7" t="s">
        <v>145</v>
      </c>
      <c r="O18" s="7" t="s">
        <v>146</v>
      </c>
      <c r="P18" s="7" t="s">
        <v>147</v>
      </c>
    </row>
    <row r="19" spans="1:16" x14ac:dyDescent="0.45">
      <c r="A19" s="6" t="s">
        <v>63</v>
      </c>
      <c r="B19" s="7" t="s">
        <v>117</v>
      </c>
      <c r="C19" s="7" t="s">
        <v>148</v>
      </c>
      <c r="D19" s="7" t="s">
        <v>309</v>
      </c>
      <c r="E19" s="7" t="s">
        <v>149</v>
      </c>
      <c r="F19" s="7" t="s">
        <v>150</v>
      </c>
      <c r="G19" s="8">
        <v>99000</v>
      </c>
      <c r="H19" s="8">
        <v>32000</v>
      </c>
      <c r="I19" s="9">
        <f t="shared" si="0"/>
        <v>0.32323232323232326</v>
      </c>
      <c r="J19" s="6" t="s">
        <v>20</v>
      </c>
      <c r="K19" s="6" t="s">
        <v>21</v>
      </c>
      <c r="L19" s="6" t="s">
        <v>22</v>
      </c>
      <c r="M19" s="7" t="s">
        <v>151</v>
      </c>
      <c r="N19" s="7" t="s">
        <v>152</v>
      </c>
      <c r="O19" s="7" t="s">
        <v>153</v>
      </c>
      <c r="P19" s="7" t="s">
        <v>154</v>
      </c>
    </row>
    <row r="20" spans="1:16" ht="19.899999999999999" customHeight="1" x14ac:dyDescent="0.45">
      <c r="A20" s="2" t="s">
        <v>63</v>
      </c>
      <c r="B20" s="3" t="s">
        <v>310</v>
      </c>
      <c r="C20" s="3" t="s">
        <v>155</v>
      </c>
      <c r="D20" s="3" t="s">
        <v>73</v>
      </c>
      <c r="E20" s="3" t="s">
        <v>18</v>
      </c>
      <c r="F20" s="3" t="s">
        <v>325</v>
      </c>
      <c r="G20" s="4">
        <v>279000</v>
      </c>
      <c r="H20" s="4">
        <v>130000</v>
      </c>
      <c r="I20" s="5">
        <f t="shared" si="0"/>
        <v>0.46594982078853048</v>
      </c>
      <c r="J20" s="2" t="s">
        <v>20</v>
      </c>
      <c r="K20" s="2" t="s">
        <v>21</v>
      </c>
      <c r="L20" s="2" t="s">
        <v>22</v>
      </c>
      <c r="M20" s="3" t="s">
        <v>156</v>
      </c>
      <c r="N20" s="3" t="s">
        <v>157</v>
      </c>
      <c r="O20" s="3" t="s">
        <v>158</v>
      </c>
      <c r="P20" s="3" t="s">
        <v>159</v>
      </c>
    </row>
    <row r="21" spans="1:16" x14ac:dyDescent="0.45">
      <c r="A21" s="6" t="s">
        <v>63</v>
      </c>
      <c r="B21" s="7" t="s">
        <v>79</v>
      </c>
      <c r="C21" s="7" t="s">
        <v>160</v>
      </c>
      <c r="D21" s="7" t="s">
        <v>161</v>
      </c>
      <c r="E21" s="7" t="s">
        <v>103</v>
      </c>
      <c r="F21" s="7" t="s">
        <v>162</v>
      </c>
      <c r="G21" s="8">
        <v>150000</v>
      </c>
      <c r="H21" s="8">
        <v>45000</v>
      </c>
      <c r="I21" s="9">
        <f t="shared" si="0"/>
        <v>0.3</v>
      </c>
      <c r="J21" s="6" t="s">
        <v>20</v>
      </c>
      <c r="K21" s="6" t="s">
        <v>21</v>
      </c>
      <c r="L21" s="6" t="s">
        <v>22</v>
      </c>
      <c r="M21" s="7" t="s">
        <v>163</v>
      </c>
      <c r="N21" s="7" t="s">
        <v>164</v>
      </c>
      <c r="O21" s="7" t="s">
        <v>165</v>
      </c>
      <c r="P21" s="7" t="s">
        <v>166</v>
      </c>
    </row>
    <row r="22" spans="1:16" x14ac:dyDescent="0.45">
      <c r="A22" s="2" t="s">
        <v>167</v>
      </c>
      <c r="B22" s="3" t="s">
        <v>79</v>
      </c>
      <c r="C22" s="3" t="s">
        <v>168</v>
      </c>
      <c r="D22" s="3" t="s">
        <v>169</v>
      </c>
      <c r="E22" s="3" t="s">
        <v>170</v>
      </c>
      <c r="F22" s="3" t="s">
        <v>171</v>
      </c>
      <c r="G22" s="4">
        <v>150000</v>
      </c>
      <c r="H22" s="4">
        <v>50000</v>
      </c>
      <c r="I22" s="5">
        <f t="shared" si="0"/>
        <v>0.33333333333333331</v>
      </c>
      <c r="J22" s="2" t="s">
        <v>20</v>
      </c>
      <c r="K22" s="2" t="s">
        <v>21</v>
      </c>
      <c r="L22" s="2" t="s">
        <v>22</v>
      </c>
      <c r="M22" s="3" t="s">
        <v>172</v>
      </c>
      <c r="N22" s="3" t="s">
        <v>173</v>
      </c>
      <c r="O22" s="3" t="s">
        <v>174</v>
      </c>
      <c r="P22" s="3" t="s">
        <v>175</v>
      </c>
    </row>
    <row r="23" spans="1:16" x14ac:dyDescent="0.45">
      <c r="A23" s="6" t="s">
        <v>176</v>
      </c>
      <c r="B23" s="7" t="s">
        <v>79</v>
      </c>
      <c r="C23" s="7" t="s">
        <v>177</v>
      </c>
      <c r="D23" s="7" t="s">
        <v>178</v>
      </c>
      <c r="E23" s="7" t="s">
        <v>179</v>
      </c>
      <c r="F23" s="7" t="s">
        <v>180</v>
      </c>
      <c r="G23" s="8">
        <v>150000</v>
      </c>
      <c r="H23" s="8">
        <v>43750</v>
      </c>
      <c r="I23" s="9">
        <f t="shared" si="0"/>
        <v>0.29166666666666669</v>
      </c>
      <c r="J23" s="6" t="s">
        <v>20</v>
      </c>
      <c r="K23" s="6" t="s">
        <v>21</v>
      </c>
      <c r="L23" s="6" t="s">
        <v>22</v>
      </c>
      <c r="M23" s="7" t="s">
        <v>181</v>
      </c>
      <c r="N23" s="7" t="s">
        <v>182</v>
      </c>
      <c r="O23" s="7" t="s">
        <v>183</v>
      </c>
      <c r="P23" s="7" t="s">
        <v>184</v>
      </c>
    </row>
    <row r="24" spans="1:16" x14ac:dyDescent="0.45">
      <c r="A24" s="2" t="s">
        <v>63</v>
      </c>
      <c r="B24" s="3" t="s">
        <v>185</v>
      </c>
      <c r="C24" s="3" t="s">
        <v>328</v>
      </c>
      <c r="D24" s="3" t="s">
        <v>186</v>
      </c>
      <c r="E24" s="3" t="s">
        <v>39</v>
      </c>
      <c r="F24" s="3" t="s">
        <v>187</v>
      </c>
      <c r="G24" s="4">
        <v>150000</v>
      </c>
      <c r="H24" s="4">
        <v>50000</v>
      </c>
      <c r="I24" s="5">
        <f t="shared" si="0"/>
        <v>0.33333333333333331</v>
      </c>
      <c r="J24" s="2" t="s">
        <v>20</v>
      </c>
      <c r="K24" s="2" t="s">
        <v>21</v>
      </c>
      <c r="L24" s="2" t="s">
        <v>22</v>
      </c>
      <c r="M24" s="3" t="s">
        <v>188</v>
      </c>
      <c r="N24" s="3" t="s">
        <v>189</v>
      </c>
      <c r="O24" s="3" t="s">
        <v>190</v>
      </c>
      <c r="P24" s="3" t="s">
        <v>191</v>
      </c>
    </row>
    <row r="25" spans="1:16" x14ac:dyDescent="0.45">
      <c r="A25" s="6" t="s">
        <v>192</v>
      </c>
      <c r="B25" s="7" t="s">
        <v>185</v>
      </c>
      <c r="C25" s="7" t="s">
        <v>193</v>
      </c>
      <c r="D25" s="7" t="s">
        <v>194</v>
      </c>
      <c r="E25" s="7" t="s">
        <v>195</v>
      </c>
      <c r="F25" s="7" t="s">
        <v>196</v>
      </c>
      <c r="G25" s="8">
        <v>179000</v>
      </c>
      <c r="H25" s="8">
        <v>66000</v>
      </c>
      <c r="I25" s="9">
        <f t="shared" si="0"/>
        <v>0.36871508379888268</v>
      </c>
      <c r="J25" s="6" t="s">
        <v>20</v>
      </c>
      <c r="K25" s="6" t="s">
        <v>21</v>
      </c>
      <c r="L25" s="6" t="s">
        <v>22</v>
      </c>
      <c r="M25" s="7" t="s">
        <v>197</v>
      </c>
      <c r="N25" s="7" t="s">
        <v>198</v>
      </c>
      <c r="O25" s="7" t="s">
        <v>199</v>
      </c>
      <c r="P25" s="7" t="s">
        <v>200</v>
      </c>
    </row>
    <row r="26" spans="1:16" x14ac:dyDescent="0.45">
      <c r="A26" s="2" t="s">
        <v>201</v>
      </c>
      <c r="B26" s="3" t="s">
        <v>185</v>
      </c>
      <c r="C26" s="3" t="s">
        <v>202</v>
      </c>
      <c r="D26" s="3" t="s">
        <v>203</v>
      </c>
      <c r="E26" s="3" t="s">
        <v>18</v>
      </c>
      <c r="F26" s="3" t="s">
        <v>204</v>
      </c>
      <c r="G26" s="4">
        <v>180000</v>
      </c>
      <c r="H26" s="4">
        <v>60000</v>
      </c>
      <c r="I26" s="5">
        <f t="shared" si="0"/>
        <v>0.33333333333333331</v>
      </c>
      <c r="J26" s="2" t="s">
        <v>20</v>
      </c>
      <c r="K26" s="2" t="s">
        <v>21</v>
      </c>
      <c r="L26" s="2" t="s">
        <v>22</v>
      </c>
      <c r="M26" s="3" t="s">
        <v>205</v>
      </c>
      <c r="N26" s="3" t="s">
        <v>206</v>
      </c>
      <c r="O26" s="3" t="s">
        <v>207</v>
      </c>
      <c r="P26" s="3" t="s">
        <v>208</v>
      </c>
    </row>
    <row r="27" spans="1:16" x14ac:dyDescent="0.45">
      <c r="A27" s="6" t="s">
        <v>209</v>
      </c>
      <c r="B27" s="7" t="s">
        <v>185</v>
      </c>
      <c r="C27" s="7" t="s">
        <v>210</v>
      </c>
      <c r="D27" s="7" t="s">
        <v>211</v>
      </c>
      <c r="E27" s="7" t="s">
        <v>212</v>
      </c>
      <c r="F27" s="7" t="s">
        <v>213</v>
      </c>
      <c r="G27" s="8">
        <v>79000</v>
      </c>
      <c r="H27" s="8">
        <v>22750</v>
      </c>
      <c r="I27" s="9">
        <f t="shared" si="0"/>
        <v>0.28797468354430378</v>
      </c>
      <c r="J27" s="6" t="s">
        <v>20</v>
      </c>
      <c r="K27" s="6" t="s">
        <v>21</v>
      </c>
      <c r="L27" s="6" t="s">
        <v>22</v>
      </c>
      <c r="M27" s="7" t="s">
        <v>214</v>
      </c>
      <c r="N27" s="7" t="s">
        <v>215</v>
      </c>
      <c r="O27" s="7" t="s">
        <v>216</v>
      </c>
      <c r="P27" s="7" t="s">
        <v>217</v>
      </c>
    </row>
    <row r="28" spans="1:16" x14ac:dyDescent="0.45">
      <c r="A28" s="2" t="s">
        <v>218</v>
      </c>
      <c r="B28" s="3" t="s">
        <v>185</v>
      </c>
      <c r="C28" s="3" t="s">
        <v>219</v>
      </c>
      <c r="D28" s="3" t="s">
        <v>329</v>
      </c>
      <c r="E28" s="3" t="s">
        <v>220</v>
      </c>
      <c r="F28" s="3" t="s">
        <v>221</v>
      </c>
      <c r="G28" s="4">
        <v>800000</v>
      </c>
      <c r="H28" s="4">
        <v>280000</v>
      </c>
      <c r="I28" s="5">
        <f t="shared" si="0"/>
        <v>0.35</v>
      </c>
      <c r="J28" s="2" t="s">
        <v>20</v>
      </c>
      <c r="K28" s="2" t="s">
        <v>21</v>
      </c>
      <c r="L28" s="2" t="s">
        <v>22</v>
      </c>
      <c r="M28" s="3" t="s">
        <v>222</v>
      </c>
      <c r="N28" s="3" t="s">
        <v>223</v>
      </c>
      <c r="O28" s="3" t="s">
        <v>224</v>
      </c>
      <c r="P28" s="3" t="s">
        <v>225</v>
      </c>
    </row>
    <row r="29" spans="1:16" x14ac:dyDescent="0.45">
      <c r="A29" s="6" t="s">
        <v>63</v>
      </c>
      <c r="B29" s="7" t="s">
        <v>185</v>
      </c>
      <c r="C29" s="7" t="s">
        <v>226</v>
      </c>
      <c r="D29" s="7" t="s">
        <v>330</v>
      </c>
      <c r="E29" s="7" t="s">
        <v>227</v>
      </c>
      <c r="F29" s="7" t="s">
        <v>228</v>
      </c>
      <c r="G29" s="8">
        <v>250000</v>
      </c>
      <c r="H29" s="8">
        <v>80000</v>
      </c>
      <c r="I29" s="9">
        <f t="shared" si="0"/>
        <v>0.32</v>
      </c>
      <c r="J29" s="6" t="s">
        <v>20</v>
      </c>
      <c r="K29" s="6" t="s">
        <v>21</v>
      </c>
      <c r="L29" s="6" t="s">
        <v>22</v>
      </c>
      <c r="M29" s="7" t="s">
        <v>229</v>
      </c>
      <c r="N29" s="7" t="s">
        <v>230</v>
      </c>
      <c r="O29" s="7" t="s">
        <v>231</v>
      </c>
      <c r="P29" s="7" t="s">
        <v>232</v>
      </c>
    </row>
    <row r="30" spans="1:16" x14ac:dyDescent="0.45">
      <c r="A30" s="2" t="s">
        <v>233</v>
      </c>
      <c r="B30" s="3" t="s">
        <v>185</v>
      </c>
      <c r="C30" s="3" t="s">
        <v>234</v>
      </c>
      <c r="D30" s="3" t="s">
        <v>235</v>
      </c>
      <c r="E30" s="3" t="s">
        <v>236</v>
      </c>
      <c r="F30" s="3" t="s">
        <v>237</v>
      </c>
      <c r="G30" s="4">
        <v>25000</v>
      </c>
      <c r="H30" s="4">
        <v>7000</v>
      </c>
      <c r="I30" s="5">
        <f t="shared" si="0"/>
        <v>0.28000000000000003</v>
      </c>
      <c r="J30" s="2" t="s">
        <v>20</v>
      </c>
      <c r="K30" s="2" t="s">
        <v>21</v>
      </c>
      <c r="L30" s="2" t="s">
        <v>22</v>
      </c>
      <c r="M30" s="3" t="s">
        <v>238</v>
      </c>
      <c r="N30" s="3" t="s">
        <v>239</v>
      </c>
      <c r="O30" s="3" t="s">
        <v>240</v>
      </c>
      <c r="P30" s="3" t="s">
        <v>241</v>
      </c>
    </row>
    <row r="31" spans="1:16" x14ac:dyDescent="0.45">
      <c r="A31" s="6" t="s">
        <v>242</v>
      </c>
      <c r="B31" s="7" t="s">
        <v>243</v>
      </c>
      <c r="C31" s="7" t="s">
        <v>331</v>
      </c>
      <c r="D31" s="7" t="s">
        <v>244</v>
      </c>
      <c r="E31" s="7" t="s">
        <v>245</v>
      </c>
      <c r="F31" s="7" t="s">
        <v>246</v>
      </c>
      <c r="G31" s="8">
        <v>99000</v>
      </c>
      <c r="H31" s="8">
        <v>30000</v>
      </c>
      <c r="I31" s="9">
        <f t="shared" si="0"/>
        <v>0.30303030303030304</v>
      </c>
      <c r="J31" s="6" t="s">
        <v>20</v>
      </c>
      <c r="K31" s="6" t="s">
        <v>21</v>
      </c>
      <c r="L31" s="6" t="s">
        <v>22</v>
      </c>
      <c r="M31" s="7" t="s">
        <v>247</v>
      </c>
      <c r="N31" s="7" t="s">
        <v>248</v>
      </c>
      <c r="O31" s="7" t="s">
        <v>249</v>
      </c>
      <c r="P31" s="7" t="s">
        <v>250</v>
      </c>
    </row>
    <row r="32" spans="1:16" x14ac:dyDescent="0.45">
      <c r="A32" s="2" t="s">
        <v>251</v>
      </c>
      <c r="B32" s="3" t="s">
        <v>243</v>
      </c>
      <c r="C32" s="3" t="s">
        <v>252</v>
      </c>
      <c r="D32" s="3" t="s">
        <v>332</v>
      </c>
      <c r="E32" s="3" t="s">
        <v>253</v>
      </c>
      <c r="F32" s="3" t="s">
        <v>254</v>
      </c>
      <c r="G32" s="4">
        <v>119000</v>
      </c>
      <c r="H32" s="4">
        <v>32800</v>
      </c>
      <c r="I32" s="5">
        <f t="shared" si="0"/>
        <v>0.27563025210084036</v>
      </c>
      <c r="J32" s="2" t="s">
        <v>20</v>
      </c>
      <c r="K32" s="2" t="s">
        <v>21</v>
      </c>
      <c r="L32" s="2" t="s">
        <v>22</v>
      </c>
      <c r="M32" s="3" t="s">
        <v>255</v>
      </c>
      <c r="N32" s="3" t="s">
        <v>256</v>
      </c>
      <c r="O32" s="3" t="s">
        <v>257</v>
      </c>
      <c r="P32" s="3" t="s">
        <v>258</v>
      </c>
    </row>
    <row r="33" spans="1:16" x14ac:dyDescent="0.45">
      <c r="A33" s="6" t="s">
        <v>63</v>
      </c>
      <c r="B33" s="7" t="s">
        <v>259</v>
      </c>
      <c r="C33" s="7" t="s">
        <v>337</v>
      </c>
      <c r="D33" s="7" t="s">
        <v>260</v>
      </c>
      <c r="E33" s="7" t="s">
        <v>261</v>
      </c>
      <c r="F33" s="7" t="s">
        <v>262</v>
      </c>
      <c r="G33" s="8">
        <v>89000</v>
      </c>
      <c r="H33" s="8">
        <v>25000</v>
      </c>
      <c r="I33" s="9">
        <f t="shared" si="0"/>
        <v>0.2808988764044944</v>
      </c>
      <c r="J33" s="6" t="s">
        <v>20</v>
      </c>
      <c r="K33" s="6" t="s">
        <v>21</v>
      </c>
      <c r="L33" s="6" t="s">
        <v>22</v>
      </c>
      <c r="M33" s="7" t="s">
        <v>263</v>
      </c>
      <c r="N33" s="7" t="s">
        <v>264</v>
      </c>
      <c r="O33" s="7" t="s">
        <v>265</v>
      </c>
      <c r="P33" s="7" t="s">
        <v>266</v>
      </c>
    </row>
    <row r="34" spans="1:16" x14ac:dyDescent="0.45">
      <c r="A34" s="2" t="s">
        <v>63</v>
      </c>
      <c r="B34" s="3" t="s">
        <v>259</v>
      </c>
      <c r="C34" s="3" t="s">
        <v>336</v>
      </c>
      <c r="D34" s="3" t="s">
        <v>267</v>
      </c>
      <c r="E34" s="3" t="s">
        <v>268</v>
      </c>
      <c r="F34" s="3" t="s">
        <v>269</v>
      </c>
      <c r="G34" s="4">
        <v>89000</v>
      </c>
      <c r="H34" s="4">
        <v>25000</v>
      </c>
      <c r="I34" s="5">
        <f t="shared" si="0"/>
        <v>0.2808988764044944</v>
      </c>
      <c r="J34" s="2" t="s">
        <v>20</v>
      </c>
      <c r="K34" s="2" t="s">
        <v>21</v>
      </c>
      <c r="L34" s="2" t="s">
        <v>22</v>
      </c>
      <c r="M34" s="3" t="s">
        <v>270</v>
      </c>
      <c r="N34" s="3" t="s">
        <v>271</v>
      </c>
      <c r="O34" s="3" t="s">
        <v>272</v>
      </c>
      <c r="P34" s="3" t="s">
        <v>273</v>
      </c>
    </row>
    <row r="35" spans="1:16" x14ac:dyDescent="0.45">
      <c r="A35" s="6" t="s">
        <v>63</v>
      </c>
      <c r="B35" s="7" t="s">
        <v>259</v>
      </c>
      <c r="C35" s="7" t="s">
        <v>338</v>
      </c>
      <c r="D35" s="7" t="s">
        <v>73</v>
      </c>
      <c r="E35" s="7" t="s">
        <v>268</v>
      </c>
      <c r="F35" s="7" t="s">
        <v>274</v>
      </c>
      <c r="G35" s="8">
        <v>129000</v>
      </c>
      <c r="H35" s="8">
        <v>40000</v>
      </c>
      <c r="I35" s="9">
        <f t="shared" si="0"/>
        <v>0.31007751937984496</v>
      </c>
      <c r="J35" s="6" t="s">
        <v>20</v>
      </c>
      <c r="K35" s="6" t="s">
        <v>21</v>
      </c>
      <c r="L35" s="6" t="s">
        <v>22</v>
      </c>
      <c r="M35" s="7" t="s">
        <v>275</v>
      </c>
      <c r="N35" s="7" t="s">
        <v>276</v>
      </c>
      <c r="O35" s="7" t="s">
        <v>277</v>
      </c>
      <c r="P35" s="7" t="s">
        <v>278</v>
      </c>
    </row>
    <row r="36" spans="1:16" x14ac:dyDescent="0.45">
      <c r="A36" s="2" t="s">
        <v>63</v>
      </c>
      <c r="B36" s="3" t="s">
        <v>279</v>
      </c>
      <c r="C36" s="3" t="s">
        <v>280</v>
      </c>
      <c r="D36" s="3" t="s">
        <v>73</v>
      </c>
      <c r="E36" s="3" t="s">
        <v>281</v>
      </c>
      <c r="F36" s="3" t="s">
        <v>282</v>
      </c>
      <c r="G36" s="4">
        <v>299000</v>
      </c>
      <c r="H36" s="4">
        <v>90000</v>
      </c>
      <c r="I36" s="5">
        <f t="shared" si="0"/>
        <v>0.30100334448160537</v>
      </c>
      <c r="J36" s="2" t="s">
        <v>20</v>
      </c>
      <c r="K36" s="2" t="s">
        <v>21</v>
      </c>
      <c r="L36" s="2" t="s">
        <v>22</v>
      </c>
      <c r="M36" s="3" t="s">
        <v>283</v>
      </c>
      <c r="N36" s="3" t="s">
        <v>284</v>
      </c>
      <c r="O36" s="3" t="s">
        <v>285</v>
      </c>
      <c r="P36" s="3" t="s">
        <v>286</v>
      </c>
    </row>
    <row r="37" spans="1:16" x14ac:dyDescent="0.45">
      <c r="A37" s="6" t="s">
        <v>63</v>
      </c>
      <c r="B37" s="7" t="s">
        <v>279</v>
      </c>
      <c r="C37" s="7" t="s">
        <v>287</v>
      </c>
      <c r="D37" s="7" t="s">
        <v>73</v>
      </c>
      <c r="E37" s="7" t="s">
        <v>288</v>
      </c>
      <c r="F37" s="7" t="s">
        <v>289</v>
      </c>
      <c r="G37" s="8">
        <v>299000</v>
      </c>
      <c r="H37" s="8">
        <v>90000</v>
      </c>
      <c r="I37" s="9">
        <f t="shared" si="0"/>
        <v>0.30100334448160537</v>
      </c>
      <c r="J37" s="6" t="s">
        <v>20</v>
      </c>
      <c r="K37" s="6" t="s">
        <v>21</v>
      </c>
      <c r="L37" s="6" t="s">
        <v>22</v>
      </c>
      <c r="M37" s="7" t="s">
        <v>290</v>
      </c>
      <c r="N37" s="7" t="s">
        <v>291</v>
      </c>
      <c r="O37" s="7" t="s">
        <v>292</v>
      </c>
      <c r="P37" s="7" t="s">
        <v>293</v>
      </c>
    </row>
    <row r="38" spans="1:16" x14ac:dyDescent="0.45">
      <c r="A38" s="6" t="s">
        <v>63</v>
      </c>
      <c r="B38" s="7" t="s">
        <v>279</v>
      </c>
      <c r="C38" s="7" t="s">
        <v>294</v>
      </c>
      <c r="D38" s="7" t="s">
        <v>295</v>
      </c>
      <c r="E38" s="7" t="s">
        <v>296</v>
      </c>
      <c r="F38" s="7" t="s">
        <v>297</v>
      </c>
      <c r="G38" s="8">
        <v>299000</v>
      </c>
      <c r="H38" s="8">
        <v>95000</v>
      </c>
      <c r="I38" s="9">
        <f t="shared" si="0"/>
        <v>0.31772575250836121</v>
      </c>
      <c r="J38" s="6" t="s">
        <v>20</v>
      </c>
      <c r="K38" s="6" t="s">
        <v>21</v>
      </c>
      <c r="L38" s="6" t="s">
        <v>22</v>
      </c>
      <c r="M38" s="7" t="s">
        <v>298</v>
      </c>
      <c r="N38" s="7" t="s">
        <v>299</v>
      </c>
      <c r="O38" s="7" t="s">
        <v>300</v>
      </c>
      <c r="P38" s="7" t="s">
        <v>301</v>
      </c>
    </row>
    <row r="39" spans="1:16" x14ac:dyDescent="0.45">
      <c r="A39" s="6" t="s">
        <v>63</v>
      </c>
      <c r="B39" s="3" t="s">
        <v>310</v>
      </c>
      <c r="C39" s="10" t="s">
        <v>311</v>
      </c>
      <c r="D39" s="3" t="s">
        <v>73</v>
      </c>
      <c r="E39" s="10" t="s">
        <v>312</v>
      </c>
      <c r="F39" s="10" t="s">
        <v>313</v>
      </c>
      <c r="G39" s="11">
        <v>150000</v>
      </c>
      <c r="H39" s="11">
        <v>55000</v>
      </c>
      <c r="I39" s="12">
        <f t="shared" si="0"/>
        <v>0.36666666666666664</v>
      </c>
      <c r="J39" s="6" t="s">
        <v>20</v>
      </c>
      <c r="K39" s="6" t="s">
        <v>21</v>
      </c>
      <c r="L39" s="6" t="s">
        <v>22</v>
      </c>
    </row>
    <row r="40" spans="1:16" x14ac:dyDescent="0.45">
      <c r="A40" s="2" t="s">
        <v>63</v>
      </c>
      <c r="B40" s="3" t="s">
        <v>310</v>
      </c>
      <c r="C40" s="13" t="s">
        <v>314</v>
      </c>
      <c r="D40" s="3" t="s">
        <v>73</v>
      </c>
      <c r="E40" s="10" t="s">
        <v>312</v>
      </c>
      <c r="F40" s="13" t="s">
        <v>315</v>
      </c>
      <c r="G40" s="14">
        <v>150000</v>
      </c>
      <c r="H40" s="14">
        <v>50000</v>
      </c>
      <c r="I40" s="15">
        <f t="shared" si="0"/>
        <v>0.33333333333333331</v>
      </c>
      <c r="J40" s="6" t="s">
        <v>20</v>
      </c>
      <c r="K40" s="6" t="s">
        <v>21</v>
      </c>
      <c r="L40" s="6" t="s">
        <v>22</v>
      </c>
    </row>
    <row r="41" spans="1:16" x14ac:dyDescent="0.45">
      <c r="A41" s="6" t="s">
        <v>63</v>
      </c>
      <c r="B41" s="3" t="s">
        <v>310</v>
      </c>
      <c r="C41" s="10" t="s">
        <v>316</v>
      </c>
      <c r="D41" s="3" t="s">
        <v>73</v>
      </c>
      <c r="E41" s="10" t="s">
        <v>317</v>
      </c>
      <c r="F41" s="10" t="s">
        <v>318</v>
      </c>
      <c r="G41" s="11">
        <v>99000</v>
      </c>
      <c r="H41" s="11">
        <v>32000</v>
      </c>
      <c r="I41" s="12">
        <f t="shared" si="0"/>
        <v>0.32323232323232326</v>
      </c>
      <c r="J41" s="6" t="s">
        <v>20</v>
      </c>
      <c r="K41" s="6" t="s">
        <v>21</v>
      </c>
      <c r="L41" s="6" t="s">
        <v>22</v>
      </c>
    </row>
    <row r="42" spans="1:16" x14ac:dyDescent="0.45">
      <c r="A42" s="2" t="s">
        <v>63</v>
      </c>
      <c r="B42" s="3" t="s">
        <v>310</v>
      </c>
      <c r="C42" s="13" t="s">
        <v>319</v>
      </c>
      <c r="D42" s="10" t="s">
        <v>73</v>
      </c>
      <c r="E42" s="10" t="s">
        <v>320</v>
      </c>
      <c r="F42" s="13" t="s">
        <v>321</v>
      </c>
      <c r="G42" s="14">
        <v>150000</v>
      </c>
      <c r="H42" s="14">
        <v>60000</v>
      </c>
      <c r="I42" s="15">
        <f t="shared" si="0"/>
        <v>0.4</v>
      </c>
      <c r="J42" s="6" t="s">
        <v>20</v>
      </c>
      <c r="K42" s="6" t="s">
        <v>21</v>
      </c>
      <c r="L42" s="6" t="s">
        <v>22</v>
      </c>
    </row>
    <row r="43" spans="1:16" x14ac:dyDescent="0.45">
      <c r="A43" s="6" t="s">
        <v>63</v>
      </c>
      <c r="B43" s="3" t="s">
        <v>310</v>
      </c>
      <c r="C43" s="10" t="s">
        <v>322</v>
      </c>
      <c r="D43" s="10" t="s">
        <v>73</v>
      </c>
      <c r="E43" s="10" t="s">
        <v>323</v>
      </c>
      <c r="F43" s="10" t="s">
        <v>324</v>
      </c>
      <c r="G43" s="11">
        <v>150000</v>
      </c>
      <c r="H43" s="11">
        <v>55000</v>
      </c>
      <c r="I43" s="12">
        <f t="shared" si="0"/>
        <v>0.36666666666666664</v>
      </c>
      <c r="J43" s="6" t="s">
        <v>20</v>
      </c>
      <c r="K43" s="6" t="s">
        <v>21</v>
      </c>
      <c r="L43" s="6" t="s">
        <v>22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Danh Mục Thực Đơn Pipo Garden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Hieu Ngan</cp:lastModifiedBy>
  <dcterms:created xsi:type="dcterms:W3CDTF">2026-10-25T03:25:10Z</dcterms:created>
  <dcterms:modified xsi:type="dcterms:W3CDTF">2026-10-26T02:43:07Z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2026-10-25T08:37:12Z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ff4a5811-742f-44bb-949f-4adf8b62d901</vt:lpwstr>
  </property>
  <property fmtid="{D5CDD505-2E9C-101B-9397-08002B2CF9AE}" pid="7" name="MSIP_Label_defa4170-0d19-0005-0004-bc88714345d2_ActionId">
    <vt:lpwstr>7c146b6a-0638-4c68-bd00-834a8ff7e8ae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