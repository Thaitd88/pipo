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ực Đơn PiPo Garden" sheetId="1" state="visible" r:id="rId1"/>
    <sheet xmlns:r="http://schemas.openxmlformats.org/officeDocument/2006/relationships" name="Nguyên Vật Liệu Kho" sheetId="2" state="visible" r:id="rId2"/>
    <sheet xmlns:r="http://schemas.openxmlformats.org/officeDocument/2006/relationships" name="Hướng Dẫn Cập Nhật" sheetId="3" state="visible" r:id="rId3"/>
  </sheets>
  <definedNames>
    <definedName name="_xlnm._FilterDatabase" localSheetId="0" hidden="1">'Thực Đơn PiPo Garden'!$A$3:$P$84</definedName>
    <definedName name="_xlnm._FilterDatabase" localSheetId="1" hidden="1">'Nguyên Vật Liệu Kho'!$A$2:$G$57</definedName>
  </definedNames>
  <calcPr calcId="124519" fullCalcOnLoad="1"/>
</workbook>
</file>

<file path=xl/styles.xml><?xml version="1.0" encoding="utf-8"?>
<styleSheet xmlns="http://schemas.openxmlformats.org/spreadsheetml/2006/main">
  <numFmts count="2">
    <numFmt numFmtId="164" formatCode="#,##0 &quot;đ&quot;"/>
    <numFmt numFmtId="165" formatCode="0.0%"/>
  </numFmts>
  <fonts count="8">
    <font>
      <name val="Calibri"/>
      <family val="2"/>
      <color theme="1"/>
      <sz val="11"/>
      <scheme val="minor"/>
    </font>
    <font>
      <name val="Segoe UI"/>
      <b val="1"/>
      <color rgb="00FFFFFF"/>
      <sz val="15"/>
    </font>
    <font>
      <name val="Segoe UI"/>
      <i val="1"/>
      <color rgb="00666666"/>
      <sz val="9"/>
    </font>
    <font>
      <name val="Segoe UI"/>
      <b val="1"/>
      <color rgb="00FFFFFF"/>
      <sz val="10"/>
    </font>
    <font>
      <name val="Consolas"/>
      <b val="1"/>
      <color rgb="001E3A8A"/>
      <sz val="10"/>
    </font>
    <font>
      <name val="Segoe UI"/>
      <b val="1"/>
      <color rgb="00000000"/>
      <sz val="10"/>
    </font>
    <font>
      <name val="Segoe UI"/>
      <color rgb="00000000"/>
      <sz val="10"/>
    </font>
    <font>
      <name val="Segoe UI"/>
      <color rgb="000066CC"/>
      <sz val="9"/>
      <u val="single"/>
    </font>
  </fonts>
  <fills count="9">
    <fill>
      <patternFill/>
    </fill>
    <fill>
      <patternFill patternType="gray125"/>
    </fill>
    <fill>
      <patternFill patternType="solid">
        <fgColor rgb="001B4D3E"/>
        <bgColor rgb="001B4D3E"/>
      </patternFill>
    </fill>
    <fill>
      <patternFill patternType="solid">
        <fgColor rgb="00F4F8F6"/>
        <bgColor rgb="00F4F8F6"/>
      </patternFill>
    </fill>
    <fill>
      <patternFill patternType="solid">
        <fgColor rgb="00235D4B"/>
        <bgColor rgb="00235D4B"/>
      </patternFill>
    </fill>
    <fill>
      <patternFill patternType="solid">
        <fgColor rgb="00FFFFFF"/>
        <bgColor rgb="00FFFFFF"/>
      </patternFill>
    </fill>
    <fill>
      <patternFill patternType="solid">
        <fgColor rgb="001E3A8A"/>
        <bgColor rgb="001E3A8A"/>
      </patternFill>
    </fill>
    <fill>
      <patternFill patternType="solid">
        <fgColor rgb="00374151"/>
        <bgColor rgb="00374151"/>
      </patternFill>
    </fill>
    <fill>
      <patternFill patternType="solid">
        <fgColor rgb="004B5563"/>
        <bgColor rgb="004B5563"/>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6" fillId="3" borderId="1" applyAlignment="1" pivotButton="0" quotePrefix="0" xfId="0">
      <alignment horizontal="left" vertical="center" wrapText="1"/>
    </xf>
    <xf numFmtId="164" fontId="5" fillId="3" borderId="1" applyAlignment="1" pivotButton="0" quotePrefix="0" xfId="0">
      <alignment horizontal="right" vertical="center"/>
    </xf>
    <xf numFmtId="164" fontId="6" fillId="3" borderId="1" applyAlignment="1" pivotButton="0" quotePrefix="0" xfId="0">
      <alignment horizontal="right" vertical="center"/>
    </xf>
    <xf numFmtId="165" fontId="6"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4"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6" fillId="5" borderId="1" applyAlignment="1" pivotButton="0" quotePrefix="0" xfId="0">
      <alignment horizontal="left" vertical="center" wrapText="1"/>
    </xf>
    <xf numFmtId="164" fontId="5" fillId="5" borderId="1" applyAlignment="1" pivotButton="0" quotePrefix="0" xfId="0">
      <alignment horizontal="right" vertical="center"/>
    </xf>
    <xf numFmtId="164" fontId="6" fillId="5" borderId="1" applyAlignment="1" pivotButton="0" quotePrefix="0" xfId="0">
      <alignment horizontal="right" vertical="center"/>
    </xf>
    <xf numFmtId="165" fontId="6"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1" fillId="6" borderId="0" applyAlignment="1" pivotButton="0" quotePrefix="0" xfId="0">
      <alignment horizontal="center" vertical="center"/>
    </xf>
    <xf numFmtId="0" fontId="3" fillId="6" borderId="1" applyAlignment="1" pivotButton="0" quotePrefix="0" xfId="0">
      <alignment horizontal="center" vertical="center" wrapText="1"/>
    </xf>
    <xf numFmtId="4" fontId="6" fillId="5" borderId="1" applyAlignment="1" pivotButton="0" quotePrefix="0" xfId="0">
      <alignment horizontal="right" vertical="center"/>
    </xf>
    <xf numFmtId="4" fontId="6" fillId="3" borderId="1" applyAlignment="1" pivotButton="0" quotePrefix="0" xfId="0">
      <alignment horizontal="right" vertical="center"/>
    </xf>
    <xf numFmtId="0" fontId="1" fillId="7" borderId="0" applyAlignment="1" pivotButton="0" quotePrefix="0" xfId="0">
      <alignment horizontal="center" vertical="center"/>
    </xf>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D:/AI/Restaurant/app/static/dishes/khoai_tay_chien.jpg" TargetMode="External" Id="rId1"/><Relationship Type="http://schemas.openxmlformats.org/officeDocument/2006/relationships/hyperlink" Target="https://pipogarden.com/static/dishes/khoai_tay_chien.jpg" TargetMode="External" Id="rId2"/><Relationship Type="http://schemas.openxmlformats.org/officeDocument/2006/relationships/hyperlink" Target="file:///D:/AI/Restaurant/app/static/logo.png" TargetMode="External" Id="rId3"/><Relationship Type="http://schemas.openxmlformats.org/officeDocument/2006/relationships/hyperlink" Target="https://pipogarden.com/static/logo.png" TargetMode="External" Id="rId4"/><Relationship Type="http://schemas.openxmlformats.org/officeDocument/2006/relationships/hyperlink" Target="file:///D:/AI/Restaurant/app/static/dishes/rau_muong_xao_toi.jpg" TargetMode="External" Id="rId5"/><Relationship Type="http://schemas.openxmlformats.org/officeDocument/2006/relationships/hyperlink" Target="https://pipogarden.com/static/dishes/rau_muong_xao_toi.jpg" TargetMode="External" Id="rId6"/><Relationship Type="http://schemas.openxmlformats.org/officeDocument/2006/relationships/hyperlink" Target="file:///D:/AI/Restaurant/app/static/dishes/cai_thia_sot_dau_hao.jpg" TargetMode="External" Id="rId7"/><Relationship Type="http://schemas.openxmlformats.org/officeDocument/2006/relationships/hyperlink" Target="https://pipogarden.com/static/dishes/cai_thia_sot_dau_hao.jpg" TargetMode="External" Id="rId8"/><Relationship Type="http://schemas.openxmlformats.org/officeDocument/2006/relationships/hyperlink" Target="file:///D:/AI/Restaurant/app/static/dishes/dau_hu_chien_gion.jpg" TargetMode="External" Id="rId9"/><Relationship Type="http://schemas.openxmlformats.org/officeDocument/2006/relationships/hyperlink" Target="https://pipogarden.com/static/dishes/dau_hu_chien_gion.jpg" TargetMode="External" Id="rId10"/><Relationship Type="http://schemas.openxmlformats.org/officeDocument/2006/relationships/hyperlink" Target="file:///D:/AI/Restaurant/app/static/dishes/khoai_mon_chien_nuoc_mam.jpg" TargetMode="External" Id="rId11"/><Relationship Type="http://schemas.openxmlformats.org/officeDocument/2006/relationships/hyperlink" Target="https://pipogarden.com/static/dishes/khoai_mon_chien_nuoc_mam.jpg" TargetMode="External" Id="rId12"/><Relationship Type="http://schemas.openxmlformats.org/officeDocument/2006/relationships/hyperlink" Target="file:///D:/AI/Restaurant/app/static/logo.png" TargetMode="External" Id="rId13"/><Relationship Type="http://schemas.openxmlformats.org/officeDocument/2006/relationships/hyperlink" Target="https://pipogarden.com/static/logo.png" TargetMode="External" Id="rId14"/><Relationship Type="http://schemas.openxmlformats.org/officeDocument/2006/relationships/hyperlink" Target="file:///D:/AI/Restaurant/app/static/logo.png" TargetMode="External" Id="rId15"/><Relationship Type="http://schemas.openxmlformats.org/officeDocument/2006/relationships/hyperlink" Target="https://pipogarden.com/static/logo.png" TargetMode="External" Id="rId16"/><Relationship Type="http://schemas.openxmlformats.org/officeDocument/2006/relationships/hyperlink" Target="file:///D:/AI/Restaurant/app/static/dishes/ga_en_nguyen_con.jpg" TargetMode="External" Id="rId17"/><Relationship Type="http://schemas.openxmlformats.org/officeDocument/2006/relationships/hyperlink" Target="https://pipogarden.com/static/dishes/ga_en_nguyen_con.jpg" TargetMode="External" Id="rId18"/><Relationship Type="http://schemas.openxmlformats.org/officeDocument/2006/relationships/hyperlink" Target="file:///D:/AI/Restaurant/app/static/dishes/ga_nuong_muoi_ot_long_me_xao.jpg" TargetMode="External" Id="rId19"/><Relationship Type="http://schemas.openxmlformats.org/officeDocument/2006/relationships/hyperlink" Target="https://pipogarden.com/static/dishes/ga_nuong_muoi_ot_long_me_xao.jpg" TargetMode="External" Id="rId20"/><Relationship Type="http://schemas.openxmlformats.org/officeDocument/2006/relationships/hyperlink" Target="file:///D:/AI/Restaurant/app/static/dishes/canh_ga_nuong_muoi_ot.jpg" TargetMode="External" Id="rId21"/><Relationship Type="http://schemas.openxmlformats.org/officeDocument/2006/relationships/hyperlink" Target="https://pipogarden.com/static/dishes/canh_ga_nuong_muoi_ot.jpg" TargetMode="External" Id="rId22"/><Relationship Type="http://schemas.openxmlformats.org/officeDocument/2006/relationships/hyperlink" Target="file:///D:/AI/Restaurant/app/static/dishes/vit_quay_thao_moc.jpg" TargetMode="External" Id="rId23"/><Relationship Type="http://schemas.openxmlformats.org/officeDocument/2006/relationships/hyperlink" Target="https://pipogarden.com/static/dishes/vit_quay_thao_moc.jpg" TargetMode="External" Id="rId24"/><Relationship Type="http://schemas.openxmlformats.org/officeDocument/2006/relationships/hyperlink" Target="file:///D:/AI/Restaurant/app/static/dishes/chan_ga_nuong.jpg" TargetMode="External" Id="rId25"/><Relationship Type="http://schemas.openxmlformats.org/officeDocument/2006/relationships/hyperlink" Target="https://pipogarden.com/static/dishes/chan_ga_nuong.jpg" TargetMode="External" Id="rId26"/><Relationship Type="http://schemas.openxmlformats.org/officeDocument/2006/relationships/hyperlink" Target="file:///D:/AI/Restaurant/app/static/logo.png" TargetMode="External" Id="rId27"/><Relationship Type="http://schemas.openxmlformats.org/officeDocument/2006/relationships/hyperlink" Target="https://pipogarden.com/static/logo.png" TargetMode="External" Id="rId28"/><Relationship Type="http://schemas.openxmlformats.org/officeDocument/2006/relationships/hyperlink" Target="file:///D:/AI/Restaurant/app/static/dishes/bo_xuyen_tieu.jpg" TargetMode="External" Id="rId29"/><Relationship Type="http://schemas.openxmlformats.org/officeDocument/2006/relationships/hyperlink" Target="https://pipogarden.com/static/dishes/bo_xuyen_tieu.jpg" TargetMode="External" Id="rId30"/><Relationship Type="http://schemas.openxmlformats.org/officeDocument/2006/relationships/hyperlink" Target="file:///D:/AI/Restaurant/app/static/dishes/heo_nuong_gieng_me.jpg" TargetMode="External" Id="rId31"/><Relationship Type="http://schemas.openxmlformats.org/officeDocument/2006/relationships/hyperlink" Target="https://pipogarden.com/static/dishes/heo_nuong_gieng_me.jpg" TargetMode="External" Id="rId32"/><Relationship Type="http://schemas.openxmlformats.org/officeDocument/2006/relationships/hyperlink" Target="file:///D:/AI/Restaurant/app/static/dishes/suon_heo_nuong_muoi_ot.jpg" TargetMode="External" Id="rId33"/><Relationship Type="http://schemas.openxmlformats.org/officeDocument/2006/relationships/hyperlink" Target="https://pipogarden.com/static/dishes/suon_heo_nuong_muoi_ot.jpg" TargetMode="External" Id="rId34"/><Relationship Type="http://schemas.openxmlformats.org/officeDocument/2006/relationships/hyperlink" Target="file:///D:/AI/Restaurant/app/static/logo.png" TargetMode="External" Id="rId35"/><Relationship Type="http://schemas.openxmlformats.org/officeDocument/2006/relationships/hyperlink" Target="https://pipogarden.com/static/logo.png" TargetMode="External" Id="rId36"/><Relationship Type="http://schemas.openxmlformats.org/officeDocument/2006/relationships/hyperlink" Target="file:///D:/AI/Restaurant/app/static/logo.png" TargetMode="External" Id="rId37"/><Relationship Type="http://schemas.openxmlformats.org/officeDocument/2006/relationships/hyperlink" Target="https://pipogarden.com/static/logo.png" TargetMode="External" Id="rId38"/><Relationship Type="http://schemas.openxmlformats.org/officeDocument/2006/relationships/hyperlink" Target="file:///D:/AI/Restaurant/app/static/logo.png" TargetMode="External" Id="rId39"/><Relationship Type="http://schemas.openxmlformats.org/officeDocument/2006/relationships/hyperlink" Target="https://pipogarden.com/static/logo.png" TargetMode="External" Id="rId40"/><Relationship Type="http://schemas.openxmlformats.org/officeDocument/2006/relationships/hyperlink" Target="file:///D:/AI/Restaurant/app/static/logo.png" TargetMode="External" Id="rId41"/><Relationship Type="http://schemas.openxmlformats.org/officeDocument/2006/relationships/hyperlink" Target="https://pipogarden.com/static/logo.png" TargetMode="External" Id="rId42"/><Relationship Type="http://schemas.openxmlformats.org/officeDocument/2006/relationships/hyperlink" Target="file:///D:/AI/Restaurant/app/static/logo.png" TargetMode="External" Id="rId43"/><Relationship Type="http://schemas.openxmlformats.org/officeDocument/2006/relationships/hyperlink" Target="https://pipogarden.com/static/logo.png" TargetMode="External" Id="rId44"/><Relationship Type="http://schemas.openxmlformats.org/officeDocument/2006/relationships/hyperlink" Target="file:///D:/AI/Restaurant/app/static/dishes/goi_khoai_mon_hai_san.jpg" TargetMode="External" Id="rId45"/><Relationship Type="http://schemas.openxmlformats.org/officeDocument/2006/relationships/hyperlink" Target="https://pipogarden.com/static/dishes/goi_khoai_mon_hai_san.jpg" TargetMode="External" Id="rId46"/><Relationship Type="http://schemas.openxmlformats.org/officeDocument/2006/relationships/hyperlink" Target="file:///D:/AI/Restaurant/app/static/dishes/hau_nuong_pho_mai.jpg" TargetMode="External" Id="rId47"/><Relationship Type="http://schemas.openxmlformats.org/officeDocument/2006/relationships/hyperlink" Target="https://pipogarden.com/static/dishes/hau_nuong_pho_mai.jpg" TargetMode="External" Id="rId48"/><Relationship Type="http://schemas.openxmlformats.org/officeDocument/2006/relationships/hyperlink" Target="file:///D:/AI/Restaurant/app/static/dishes/hau_nuong_mo_hanh.jpg" TargetMode="External" Id="rId49"/><Relationship Type="http://schemas.openxmlformats.org/officeDocument/2006/relationships/hyperlink" Target="https://pipogarden.com/static/dishes/hau_nuong_mo_hanh.jpg" TargetMode="External" Id="rId50"/><Relationship Type="http://schemas.openxmlformats.org/officeDocument/2006/relationships/hyperlink" Target="file:///D:/AI/Restaurant/app/static/dishes/ngheu_hap_sa.jpg" TargetMode="External" Id="rId51"/><Relationship Type="http://schemas.openxmlformats.org/officeDocument/2006/relationships/hyperlink" Target="https://pipogarden.com/static/dishes/ngheu_hap_sa.jpg" TargetMode="External" Id="rId52"/><Relationship Type="http://schemas.openxmlformats.org/officeDocument/2006/relationships/hyperlink" Target="file:///D:/AI/Restaurant/app/static/dishes/tom_hap.jpg" TargetMode="External" Id="rId53"/><Relationship Type="http://schemas.openxmlformats.org/officeDocument/2006/relationships/hyperlink" Target="https://pipogarden.com/static/dishes/tom_hap.jpg" TargetMode="External" Id="rId54"/><Relationship Type="http://schemas.openxmlformats.org/officeDocument/2006/relationships/hyperlink" Target="file:///D:/AI/Restaurant/app/static/dishes/oc_huong_sot_trung_muoi_banh_mi.jpg" TargetMode="External" Id="rId55"/><Relationship Type="http://schemas.openxmlformats.org/officeDocument/2006/relationships/hyperlink" Target="https://pipogarden.com/static/dishes/oc_huong_sot_trung_muoi_banh_mi.jpg" TargetMode="External" Id="rId56"/><Relationship Type="http://schemas.openxmlformats.org/officeDocument/2006/relationships/hyperlink" Target="file:///D:/AI/Restaurant/app/static/dishes/oc_mong_tay_chay_toi.jpg" TargetMode="External" Id="rId57"/><Relationship Type="http://schemas.openxmlformats.org/officeDocument/2006/relationships/hyperlink" Target="https://pipogarden.com/static/dishes/oc_mong_tay_chay_toi.jpg" TargetMode="External" Id="rId58"/><Relationship Type="http://schemas.openxmlformats.org/officeDocument/2006/relationships/hyperlink" Target="file:///D:/AI/Restaurant/app/static/dishes/bach_tuoc_nuong_muoi_ot.jpg" TargetMode="External" Id="rId59"/><Relationship Type="http://schemas.openxmlformats.org/officeDocument/2006/relationships/hyperlink" Target="https://pipogarden.com/static/dishes/bach_tuoc_nuong_muoi_ot.jpg" TargetMode="External" Id="rId60"/><Relationship Type="http://schemas.openxmlformats.org/officeDocument/2006/relationships/hyperlink" Target="file:///D:/AI/Restaurant/app/static/logo.png" TargetMode="External" Id="rId61"/><Relationship Type="http://schemas.openxmlformats.org/officeDocument/2006/relationships/hyperlink" Target="https://pipogarden.com/static/logo.png" TargetMode="External" Id="rId62"/><Relationship Type="http://schemas.openxmlformats.org/officeDocument/2006/relationships/hyperlink" Target="file:///D:/AI/Restaurant/app/static/dishes/casongnuong_06516bf4.webp" TargetMode="External" Id="rId63"/><Relationship Type="http://schemas.openxmlformats.org/officeDocument/2006/relationships/hyperlink" Target="https://pipogarden.com/static/dishes/casongnuong_06516bf4.webp" TargetMode="External" Id="rId64"/><Relationship Type="http://schemas.openxmlformats.org/officeDocument/2006/relationships/hyperlink" Target="file:///D:/AI/Restaurant/app/static/logo.png" TargetMode="External" Id="rId65"/><Relationship Type="http://schemas.openxmlformats.org/officeDocument/2006/relationships/hyperlink" Target="https://pipogarden.com/static/logo.png" TargetMode="External" Id="rId66"/><Relationship Type="http://schemas.openxmlformats.org/officeDocument/2006/relationships/hyperlink" Target="file:///D:/AI/Restaurant/app/static/logo.png" TargetMode="External" Id="rId67"/><Relationship Type="http://schemas.openxmlformats.org/officeDocument/2006/relationships/hyperlink" Target="https://pipogarden.com/static/logo.png" TargetMode="External" Id="rId68"/><Relationship Type="http://schemas.openxmlformats.org/officeDocument/2006/relationships/hyperlink" Target="file:///D:/AI/Restaurant/app/static/logo.png" TargetMode="External" Id="rId69"/><Relationship Type="http://schemas.openxmlformats.org/officeDocument/2006/relationships/hyperlink" Target="https://pipogarden.com/static/logo.png" TargetMode="External" Id="rId70"/><Relationship Type="http://schemas.openxmlformats.org/officeDocument/2006/relationships/hyperlink" Target="file:///D:/AI/Restaurant/app/static/dishes/com_chien_ghe.jpg" TargetMode="External" Id="rId71"/><Relationship Type="http://schemas.openxmlformats.org/officeDocument/2006/relationships/hyperlink" Target="https://pipogarden.com/static/dishes/com_chien_ghe.jpg" TargetMode="External" Id="rId72"/><Relationship Type="http://schemas.openxmlformats.org/officeDocument/2006/relationships/hyperlink" Target="file:///D:/AI/Restaurant/app/static/dishes/mi_xao_hai_san.jpg" TargetMode="External" Id="rId73"/><Relationship Type="http://schemas.openxmlformats.org/officeDocument/2006/relationships/hyperlink" Target="https://pipogarden.com/static/dishes/mi_xao_hai_san.jpg" TargetMode="External" Id="rId74"/><Relationship Type="http://schemas.openxmlformats.org/officeDocument/2006/relationships/hyperlink" Target="file:///D:/AI/Restaurant/app/static/dishes/nuoc_suoi.jpg" TargetMode="External" Id="rId75"/><Relationship Type="http://schemas.openxmlformats.org/officeDocument/2006/relationships/hyperlink" Target="https://pipogarden.com/static/dishes/nuoc_suoi.jpg" TargetMode="External" Id="rId76"/><Relationship Type="http://schemas.openxmlformats.org/officeDocument/2006/relationships/hyperlink" Target="file:///D:/AI/Restaurant/app/static/dishes/coca_cola.jpg" TargetMode="External" Id="rId77"/><Relationship Type="http://schemas.openxmlformats.org/officeDocument/2006/relationships/hyperlink" Target="https://pipogarden.com/static/dishes/coca_cola.jpg" TargetMode="External" Id="rId78"/><Relationship Type="http://schemas.openxmlformats.org/officeDocument/2006/relationships/hyperlink" Target="file:///D:/AI/Restaurant/app/static/dishes/pepsi.jpg" TargetMode="External" Id="rId79"/><Relationship Type="http://schemas.openxmlformats.org/officeDocument/2006/relationships/hyperlink" Target="https://pipogarden.com/static/dishes/pepsi.jpg" TargetMode="External" Id="rId80"/><Relationship Type="http://schemas.openxmlformats.org/officeDocument/2006/relationships/hyperlink" Target="file:///D:/AI/Restaurant/app/static/dishes/aquarius.jpg" TargetMode="External" Id="rId81"/><Relationship Type="http://schemas.openxmlformats.org/officeDocument/2006/relationships/hyperlink" Target="https://pipogarden.com/static/dishes/aquarius.jpg" TargetMode="External" Id="rId82"/><Relationship Type="http://schemas.openxmlformats.org/officeDocument/2006/relationships/hyperlink" Target="file:///D:/AI/Restaurant/app/static/dishes/revive.jpg" TargetMode="External" Id="rId83"/><Relationship Type="http://schemas.openxmlformats.org/officeDocument/2006/relationships/hyperlink" Target="https://pipogarden.com/static/dishes/revive.jpg" TargetMode="External" Id="rId84"/><Relationship Type="http://schemas.openxmlformats.org/officeDocument/2006/relationships/hyperlink" Target="file:///D:/AI/Restaurant/app/static/dishes/bia_bivina.jpg" TargetMode="External" Id="rId85"/><Relationship Type="http://schemas.openxmlformats.org/officeDocument/2006/relationships/hyperlink" Target="https://pipogarden.com/static/dishes/bia_bivina.jpg" TargetMode="External" Id="rId86"/><Relationship Type="http://schemas.openxmlformats.org/officeDocument/2006/relationships/hyperlink" Target="file:///D:/AI/Restaurant/app/static/dishes/bia_sai_gon.jpg" TargetMode="External" Id="rId87"/><Relationship Type="http://schemas.openxmlformats.org/officeDocument/2006/relationships/hyperlink" Target="https://pipogarden.com/static/dishes/bia_sai_gon.jpg" TargetMode="External" Id="rId88"/><Relationship Type="http://schemas.openxmlformats.org/officeDocument/2006/relationships/hyperlink" Target="file:///D:/AI/Restaurant/app/static/dishes/bia_heineken.jpg" TargetMode="External" Id="rId89"/><Relationship Type="http://schemas.openxmlformats.org/officeDocument/2006/relationships/hyperlink" Target="https://pipogarden.com/static/dishes/bia_heineken.jpg" TargetMode="External" Id="rId90"/><Relationship Type="http://schemas.openxmlformats.org/officeDocument/2006/relationships/hyperlink" Target="file:///D:/AI/Restaurant/app/static/dishes/biahoihn1l_c4483f52.webp" TargetMode="External" Id="rId91"/><Relationship Type="http://schemas.openxmlformats.org/officeDocument/2006/relationships/hyperlink" Target="https://pipogarden.com/static/dishes/biahoihn1l_c4483f52.webp" TargetMode="External" Id="rId92"/><Relationship Type="http://schemas.openxmlformats.org/officeDocument/2006/relationships/hyperlink" Target="file:///D:/AI/Restaurant/app/static/logo.png" TargetMode="External" Id="rId93"/><Relationship Type="http://schemas.openxmlformats.org/officeDocument/2006/relationships/hyperlink" Target="https://pipogarden.com/static/logo.png" TargetMode="External" Id="rId94"/><Relationship Type="http://schemas.openxmlformats.org/officeDocument/2006/relationships/hyperlink" Target="file:///D:/AI/Restaurant/app/static/dishes/ga_en_nguyen_con.jpg" TargetMode="External" Id="rId95"/><Relationship Type="http://schemas.openxmlformats.org/officeDocument/2006/relationships/hyperlink" Target="https://pipogarden.com/static/dishes/ga_en_nguyen_con.jpg" TargetMode="External" Id="rId96"/><Relationship Type="http://schemas.openxmlformats.org/officeDocument/2006/relationships/hyperlink" Target="file:///D:/AI/Restaurant/app/static/dishes/ga_nuong_muoi_ot_long_me_xao.jpg" TargetMode="External" Id="rId97"/><Relationship Type="http://schemas.openxmlformats.org/officeDocument/2006/relationships/hyperlink" Target="https://pipogarden.com/static/dishes/ga_nuong_muoi_ot_long_me_xao.jpg" TargetMode="External" Id="rId98"/><Relationship Type="http://schemas.openxmlformats.org/officeDocument/2006/relationships/hyperlink" Target="file:///D:/AI/Restaurant/app/static/dishes/canh_ga_nuong_muoi_ot.jpg" TargetMode="External" Id="rId99"/><Relationship Type="http://schemas.openxmlformats.org/officeDocument/2006/relationships/hyperlink" Target="https://pipogarden.com/static/dishes/canh_ga_nuong_muoi_ot.jpg" TargetMode="External" Id="rId100"/><Relationship Type="http://schemas.openxmlformats.org/officeDocument/2006/relationships/hyperlink" Target="file:///D:/AI/Restaurant/app/static/dishes/chan_ga_nuong.jpg" TargetMode="External" Id="rId101"/><Relationship Type="http://schemas.openxmlformats.org/officeDocument/2006/relationships/hyperlink" Target="https://pipogarden.com/static/dishes/chan_ga_nuong.jpg" TargetMode="External" Id="rId102"/><Relationship Type="http://schemas.openxmlformats.org/officeDocument/2006/relationships/hyperlink" Target="file:///D:/AI/Restaurant/app/static/logo.png" TargetMode="External" Id="rId103"/><Relationship Type="http://schemas.openxmlformats.org/officeDocument/2006/relationships/hyperlink" Target="https://pipogarden.com/static/logo.png" TargetMode="External" Id="rId104"/><Relationship Type="http://schemas.openxmlformats.org/officeDocument/2006/relationships/hyperlink" Target="file:///D:/AI/Restaurant/app/static/dishes/suon_heo_nuong_muoi_ot.jpg" TargetMode="External" Id="rId105"/><Relationship Type="http://schemas.openxmlformats.org/officeDocument/2006/relationships/hyperlink" Target="https://pipogarden.com/static/dishes/suon_heo_nuong_muoi_ot.jpg" TargetMode="External" Id="rId106"/><Relationship Type="http://schemas.openxmlformats.org/officeDocument/2006/relationships/hyperlink" Target="file:///D:/AI/Restaurant/app/static/dishes/heo_nuong_gieng_me.jpg" TargetMode="External" Id="rId107"/><Relationship Type="http://schemas.openxmlformats.org/officeDocument/2006/relationships/hyperlink" Target="https://pipogarden.com/static/dishes/heo_nuong_gieng_me.jpg" TargetMode="External" Id="rId108"/><Relationship Type="http://schemas.openxmlformats.org/officeDocument/2006/relationships/hyperlink" Target="file:///D:/AI/Restaurant/app/static/dishes/tom_hap.jpg" TargetMode="External" Id="rId109"/><Relationship Type="http://schemas.openxmlformats.org/officeDocument/2006/relationships/hyperlink" Target="https://pipogarden.com/static/dishes/tom_hap.jpg" TargetMode="External" Id="rId110"/><Relationship Type="http://schemas.openxmlformats.org/officeDocument/2006/relationships/hyperlink" Target="file:///D:/AI/Restaurant/app/static/logo.png" TargetMode="External" Id="rId111"/><Relationship Type="http://schemas.openxmlformats.org/officeDocument/2006/relationships/hyperlink" Target="https://pipogarden.com/static/logo.png" TargetMode="External" Id="rId112"/><Relationship Type="http://schemas.openxmlformats.org/officeDocument/2006/relationships/hyperlink" Target="file:///D:/AI/Restaurant/app/static/logo.png" TargetMode="External" Id="rId113"/><Relationship Type="http://schemas.openxmlformats.org/officeDocument/2006/relationships/hyperlink" Target="https://pipogarden.com/static/logo.png" TargetMode="External" Id="rId114"/><Relationship Type="http://schemas.openxmlformats.org/officeDocument/2006/relationships/hyperlink" Target="file:///D:/AI/Restaurant/app/static/dishes/hau_nuong_pho_mai.jpg" TargetMode="External" Id="rId115"/><Relationship Type="http://schemas.openxmlformats.org/officeDocument/2006/relationships/hyperlink" Target="https://pipogarden.com/static/dishes/hau_nuong_pho_mai.jpg" TargetMode="External" Id="rId116"/><Relationship Type="http://schemas.openxmlformats.org/officeDocument/2006/relationships/hyperlink" Target="file:///D:/AI/Restaurant/app/static/logo.png" TargetMode="External" Id="rId117"/><Relationship Type="http://schemas.openxmlformats.org/officeDocument/2006/relationships/hyperlink" Target="https://pipogarden.com/static/logo.png" TargetMode="External" Id="rId118"/><Relationship Type="http://schemas.openxmlformats.org/officeDocument/2006/relationships/hyperlink" Target="file:///D:/AI/Restaurant/app/static/logo.png" TargetMode="External" Id="rId119"/><Relationship Type="http://schemas.openxmlformats.org/officeDocument/2006/relationships/hyperlink" Target="https://pipogarden.com/static/logo.png" TargetMode="External" Id="rId120"/><Relationship Type="http://schemas.openxmlformats.org/officeDocument/2006/relationships/hyperlink" Target="file:///D:/AI/Restaurant/app/static/logo.png" TargetMode="External" Id="rId121"/><Relationship Type="http://schemas.openxmlformats.org/officeDocument/2006/relationships/hyperlink" Target="https://pipogarden.com/static/logo.png" TargetMode="External" Id="rId122"/><Relationship Type="http://schemas.openxmlformats.org/officeDocument/2006/relationships/hyperlink" Target="file:///D:/AI/Restaurant/app/static/logo.png" TargetMode="External" Id="rId123"/><Relationship Type="http://schemas.openxmlformats.org/officeDocument/2006/relationships/hyperlink" Target="https://pipogarden.com/static/logo.png" TargetMode="External" Id="rId124"/><Relationship Type="http://schemas.openxmlformats.org/officeDocument/2006/relationships/hyperlink" Target="file:///D:/AI/Restaurant/app/static/logo.png" TargetMode="External" Id="rId125"/><Relationship Type="http://schemas.openxmlformats.org/officeDocument/2006/relationships/hyperlink" Target="https://pipogarden.com/static/logo.png" TargetMode="External" Id="rId126"/><Relationship Type="http://schemas.openxmlformats.org/officeDocument/2006/relationships/hyperlink" Target="file:///D:/AI/Restaurant/app/static/logo.png" TargetMode="External" Id="rId127"/><Relationship Type="http://schemas.openxmlformats.org/officeDocument/2006/relationships/hyperlink" Target="https://pipogarden.com/static/logo.png" TargetMode="External" Id="rId128"/><Relationship Type="http://schemas.openxmlformats.org/officeDocument/2006/relationships/hyperlink" Target="file:///D:/AI/Restaurant/app/static/logo.png" TargetMode="External" Id="rId129"/><Relationship Type="http://schemas.openxmlformats.org/officeDocument/2006/relationships/hyperlink" Target="https://pipogarden.com/static/logo.png" TargetMode="External" Id="rId130"/><Relationship Type="http://schemas.openxmlformats.org/officeDocument/2006/relationships/hyperlink" Target="file:///D:/AI/Restaurant/app/static/logo.png" TargetMode="External" Id="rId131"/><Relationship Type="http://schemas.openxmlformats.org/officeDocument/2006/relationships/hyperlink" Target="https://pipogarden.com/static/logo.png" TargetMode="External" Id="rId132"/><Relationship Type="http://schemas.openxmlformats.org/officeDocument/2006/relationships/hyperlink" Target="file:///D:/AI/Restaurant/app/static/logo.png" TargetMode="External" Id="rId133"/><Relationship Type="http://schemas.openxmlformats.org/officeDocument/2006/relationships/hyperlink" Target="https://pipogarden.com/static/logo.png" TargetMode="External" Id="rId134"/><Relationship Type="http://schemas.openxmlformats.org/officeDocument/2006/relationships/hyperlink" Target="file:///D:/AI/Restaurant/app/static/logo.png" TargetMode="External" Id="rId135"/><Relationship Type="http://schemas.openxmlformats.org/officeDocument/2006/relationships/hyperlink" Target="https://pipogarden.com/static/logo.png" TargetMode="External" Id="rId136"/><Relationship Type="http://schemas.openxmlformats.org/officeDocument/2006/relationships/hyperlink" Target="file:///D:/AI/Restaurant/app/static/logo.png" TargetMode="External" Id="rId137"/><Relationship Type="http://schemas.openxmlformats.org/officeDocument/2006/relationships/hyperlink" Target="https://pipogarden.com/static/logo.png" TargetMode="External" Id="rId138"/><Relationship Type="http://schemas.openxmlformats.org/officeDocument/2006/relationships/hyperlink" Target="file:///D:/AI/Restaurant/app/static/logo.png" TargetMode="External" Id="rId139"/><Relationship Type="http://schemas.openxmlformats.org/officeDocument/2006/relationships/hyperlink" Target="https://pipogarden.com/static/logo.png" TargetMode="External" Id="rId140"/><Relationship Type="http://schemas.openxmlformats.org/officeDocument/2006/relationships/hyperlink" Target="file:///D:/AI/Restaurant/app/static/logo.png" TargetMode="External" Id="rId141"/><Relationship Type="http://schemas.openxmlformats.org/officeDocument/2006/relationships/hyperlink" Target="https://pipogarden.com/static/logo.png" TargetMode="External" Id="rId142"/><Relationship Type="http://schemas.openxmlformats.org/officeDocument/2006/relationships/hyperlink" Target="file:///D:/AI/Restaurant/app/static/logo.png" TargetMode="External" Id="rId143"/><Relationship Type="http://schemas.openxmlformats.org/officeDocument/2006/relationships/hyperlink" Target="https://pipogarden.com/static/logo.png" TargetMode="External" Id="rId144"/><Relationship Type="http://schemas.openxmlformats.org/officeDocument/2006/relationships/hyperlink" Target="file:///D:/AI/Restaurant/app/static/logo.png" TargetMode="External" Id="rId145"/><Relationship Type="http://schemas.openxmlformats.org/officeDocument/2006/relationships/hyperlink" Target="https://pipogarden.com/static/logo.png" TargetMode="External" Id="rId146"/><Relationship Type="http://schemas.openxmlformats.org/officeDocument/2006/relationships/hyperlink" Target="file:///D:/AI/Restaurant/app/static/logo.png" TargetMode="External" Id="rId147"/><Relationship Type="http://schemas.openxmlformats.org/officeDocument/2006/relationships/hyperlink" Target="https://pipogarden.com/static/logo.png" TargetMode="External" Id="rId148"/><Relationship Type="http://schemas.openxmlformats.org/officeDocument/2006/relationships/hyperlink" Target="file:///D:/AI/Restaurant/app/static/logo.png" TargetMode="External" Id="rId149"/><Relationship Type="http://schemas.openxmlformats.org/officeDocument/2006/relationships/hyperlink" Target="https://pipogarden.com/static/logo.png" TargetMode="External" Id="rId150"/><Relationship Type="http://schemas.openxmlformats.org/officeDocument/2006/relationships/hyperlink" Target="file:///D:/AI/Restaurant/app/static/logo.png" TargetMode="External" Id="rId151"/><Relationship Type="http://schemas.openxmlformats.org/officeDocument/2006/relationships/hyperlink" Target="https://pipogarden.com/static/logo.png" TargetMode="External" Id="rId152"/><Relationship Type="http://schemas.openxmlformats.org/officeDocument/2006/relationships/hyperlink" Target="file:///D:/AI/Restaurant/app/static/logo.png" TargetMode="External" Id="rId153"/><Relationship Type="http://schemas.openxmlformats.org/officeDocument/2006/relationships/hyperlink" Target="https://pipogarden.com/static/logo.png" TargetMode="External" Id="rId154"/><Relationship Type="http://schemas.openxmlformats.org/officeDocument/2006/relationships/hyperlink" Target="file:///D:/AI/Restaurant/app/static/logo.png" TargetMode="External" Id="rId155"/><Relationship Type="http://schemas.openxmlformats.org/officeDocument/2006/relationships/hyperlink" Target="https://pipogarden.com/static/logo.png" TargetMode="External" Id="rId156"/></Relationships>
</file>

<file path=xl/worksheets/sheet1.xml><?xml version="1.0" encoding="utf-8"?>
<worksheet xmlns="http://schemas.openxmlformats.org/spreadsheetml/2006/main">
  <sheetPr>
    <outlinePr summaryBelow="1" summaryRight="1"/>
    <pageSetUpPr/>
  </sheetPr>
  <dimension ref="A1:P84"/>
  <sheetViews>
    <sheetView showGridLines="1" workbookViewId="0">
      <pane ySplit="3" topLeftCell="A4" activePane="bottomLeft" state="frozen"/>
      <selection pane="bottomLeft" activeCell="A1" sqref="A1"/>
    </sheetView>
  </sheetViews>
  <sheetFormatPr baseColWidth="8" defaultRowHeight="15"/>
  <cols>
    <col width="12" customWidth="1" min="1" max="1"/>
    <col width="18" customWidth="1" min="2" max="2"/>
    <col width="28" customWidth="1" min="3" max="3"/>
    <col width="32" customWidth="1" min="4" max="4"/>
    <col width="26" customWidth="1" min="5" max="5"/>
    <col width="36" customWidth="1" min="6" max="6"/>
    <col width="16" customWidth="1" min="7" max="7"/>
    <col width="16" customWidth="1" min="8" max="8"/>
    <col width="12" customWidth="1" min="9" max="9"/>
    <col width="16" customWidth="1" min="10" max="10"/>
    <col width="18" customWidth="1" min="11" max="11"/>
    <col width="14" customWidth="1" min="12" max="12"/>
    <col width="30" customWidth="1" min="13" max="13"/>
    <col width="36" customWidth="1" min="14" max="14"/>
    <col width="34" customWidth="1" min="15" max="15"/>
    <col width="35" customWidth="1" min="16" max="16"/>
  </cols>
  <sheetData>
    <row r="1" ht="40" customHeight="1">
      <c r="A1" s="1" t="inlineStr">
        <is>
          <t>BẢNG QUẢN LÝ &amp; CẬP NHẬT THỰC ĐƠN PIPO GARDEN PHÚ QUỐC (F&amp;B &amp; SÂN PICKLEBALL)</t>
        </is>
      </c>
    </row>
    <row r="2" ht="24" customHeight="1">
      <c r="A2" s="2" t="inlineStr">
        <is>
          <t>Quý khách / Chủ quán chỉnh sửa trực tiếp các cột Tên món, Vị, Định lượng, Giá bán, Giá cost, Tên ảnh... sau đó lưu file lại để hệ thống cập nhật đồng loạt.</t>
        </is>
      </c>
    </row>
    <row r="3" ht="30" customHeight="1">
      <c r="A3" s="3" t="inlineStr">
        <is>
          <t>Mã món (ID)</t>
        </is>
      </c>
      <c r="B3" s="3" t="inlineStr">
        <is>
          <t>Nhóm món</t>
        </is>
      </c>
      <c r="C3" s="3" t="inlineStr">
        <is>
          <t>Tên món ăn / Dịch vụ</t>
        </is>
      </c>
      <c r="D3" s="3" t="inlineStr">
        <is>
          <t>Vị / Cách chế biến</t>
        </is>
      </c>
      <c r="E3" s="3" t="inlineStr">
        <is>
          <t>Quy cách / Định lượng phần</t>
        </is>
      </c>
      <c r="F3" s="3" t="inlineStr">
        <is>
          <t>Định lượng NVL chính (BOM)</t>
        </is>
      </c>
      <c r="G3" s="3" t="inlineStr">
        <is>
          <t>Giá bán (VNĐ)</t>
        </is>
      </c>
      <c r="H3" s="3" t="inlineStr">
        <is>
          <t>Giá cost NVL (VNĐ)</t>
        </is>
      </c>
      <c r="I3" s="3" t="inlineStr">
        <is>
          <t>% Cost/Giá</t>
        </is>
      </c>
      <c r="J3" s="3" t="inlineStr">
        <is>
          <t>Quầy chế biến</t>
        </is>
      </c>
      <c r="K3" s="3" t="inlineStr">
        <is>
          <t>Phân hệ Menu</t>
        </is>
      </c>
      <c r="L3" s="3" t="inlineStr">
        <is>
          <t>Trạng thái bán</t>
        </is>
      </c>
      <c r="M3" s="3" t="inlineStr">
        <is>
          <t>Tên file ảnh trong folder</t>
        </is>
      </c>
      <c r="N3" s="3" t="inlineStr">
        <is>
          <t>Đường dẫn ảnh cục bộ trên máy</t>
        </is>
      </c>
      <c r="O3" s="3" t="inlineStr">
        <is>
          <t>Link ảnh Web (Online)</t>
        </is>
      </c>
      <c r="P3" s="3" t="inlineStr">
        <is>
          <t>Mô tả món ăn</t>
        </is>
      </c>
    </row>
    <row r="4" ht="24" customHeight="1">
      <c r="A4" s="4" t="n">
        <v>140</v>
      </c>
      <c r="B4" s="5" t="inlineStr">
        <is>
          <t>🥗 Khai Vị</t>
        </is>
      </c>
      <c r="C4" s="5" t="inlineStr">
        <is>
          <t>Khoai tây</t>
        </is>
      </c>
      <c r="D4" s="6" t="inlineStr">
        <is>
          <t>Chọn vị chế biến: Chiên, Xốc bơ sữa</t>
        </is>
      </c>
      <c r="E4" s="6" t="inlineStr">
        <is>
          <t>Đĩa 300g</t>
        </is>
      </c>
      <c r="F4" s="6" t="inlineStr">
        <is>
          <t>Khoai Tây Cọng Đông Lạnh: 0.3 kg</t>
        </is>
      </c>
      <c r="G4" s="7" t="n">
        <v>79000</v>
      </c>
      <c r="H4" s="8" t="n">
        <v>15600</v>
      </c>
      <c r="I4" s="9">
        <f>IF(G4&gt;0, H4/G4, 0)</f>
        <v/>
      </c>
      <c r="J4" s="10" t="inlineStr">
        <is>
          <t>Bếp Nóng</t>
        </is>
      </c>
      <c r="K4" s="10" t="inlineStr">
        <is>
          <t>Nhà Hàng</t>
        </is>
      </c>
      <c r="L4" s="10" t="inlineStr">
        <is>
          <t>Đang bán</t>
        </is>
      </c>
      <c r="M4" s="6" t="inlineStr">
        <is>
          <t>khoai_tay_chien.jpg</t>
        </is>
      </c>
      <c r="N4" s="11" t="inlineStr">
        <is>
          <t>D:\AI\Restaurant\app\static\dishes\khoai_tay_chien.jpg</t>
        </is>
      </c>
      <c r="O4" s="11" t="inlineStr">
        <is>
          <t>https://pipogarden.com/static/dishes/khoai_tay_chien.jpg</t>
        </is>
      </c>
      <c r="P4" s="6" t="inlineStr">
        <is>
          <t>Khai vị khoai tây chiên giòn thơm</t>
        </is>
      </c>
    </row>
    <row r="5" ht="24" customHeight="1">
      <c r="A5" s="12" t="n">
        <v>142</v>
      </c>
      <c r="B5" s="13" t="inlineStr">
        <is>
          <t>🥗 Khai Vị</t>
        </is>
      </c>
      <c r="C5" s="13" t="inlineStr">
        <is>
          <t>Gỏi xoài khô mực</t>
        </is>
      </c>
      <c r="D5" s="14" t="inlineStr">
        <is>
          <t>Tiêu chuẩn</t>
        </is>
      </c>
      <c r="E5" s="14" t="inlineStr">
        <is>
          <t>Đĩa 350g</t>
        </is>
      </c>
      <c r="F5" s="14" t="inlineStr">
        <is>
          <t>Tôm Khô Phú Quốc Loại 1: 0.04 kg; Xoài Xanh Keo Giòn: 0.3 kg</t>
        </is>
      </c>
      <c r="G5" s="15" t="n">
        <v>99000</v>
      </c>
      <c r="H5" s="16" t="n">
        <v>26400</v>
      </c>
      <c r="I5" s="17">
        <f>IF(G5&gt;0, H5/G5, 0)</f>
        <v/>
      </c>
      <c r="J5" s="18" t="inlineStr">
        <is>
          <t>Bếp Lạnh</t>
        </is>
      </c>
      <c r="K5" s="18" t="inlineStr">
        <is>
          <t>Nhà Hàng</t>
        </is>
      </c>
      <c r="L5" s="18" t="inlineStr">
        <is>
          <t>Đang bán</t>
        </is>
      </c>
      <c r="M5" s="14" t="inlineStr">
        <is>
          <t>logo.png</t>
        </is>
      </c>
      <c r="N5" s="19" t="inlineStr">
        <is>
          <t>D:\AI\Restaurant\app\static\logo.png</t>
        </is>
      </c>
      <c r="O5" s="19" t="inlineStr">
        <is>
          <t>https://pipogarden.com/static/logo.png</t>
        </is>
      </c>
      <c r="P5" s="14" t="inlineStr">
        <is>
          <t>Gỏi xoài xanh chua ngọt trộn khô mực nướng xé sợi</t>
        </is>
      </c>
    </row>
    <row r="6" ht="24" customHeight="1">
      <c r="A6" s="4" t="n">
        <v>143</v>
      </c>
      <c r="B6" s="5" t="inlineStr">
        <is>
          <t>🥗 Khai Vị</t>
        </is>
      </c>
      <c r="C6" s="5" t="inlineStr">
        <is>
          <t>Rau muống</t>
        </is>
      </c>
      <c r="D6" s="6" t="inlineStr">
        <is>
          <t>Chọn vị chế biến: Xào tỏi, Luộc</t>
        </is>
      </c>
      <c r="E6" s="6" t="inlineStr">
        <is>
          <t>Đĩa 400g</t>
        </is>
      </c>
      <c r="F6" s="6" t="inlineStr">
        <is>
          <t>Rau Muống Tươi Nhặt Sẵn: 0.401 kg</t>
        </is>
      </c>
      <c r="G6" s="7" t="n">
        <v>59000</v>
      </c>
      <c r="H6" s="8" t="n">
        <v>8020</v>
      </c>
      <c r="I6" s="9">
        <f>IF(G6&gt;0, H6/G6, 0)</f>
        <v/>
      </c>
      <c r="J6" s="10" t="inlineStr">
        <is>
          <t>Bếp Nóng</t>
        </is>
      </c>
      <c r="K6" s="10" t="inlineStr">
        <is>
          <t>Nhà Hàng</t>
        </is>
      </c>
      <c r="L6" s="10" t="inlineStr">
        <is>
          <t>Đang bán</t>
        </is>
      </c>
      <c r="M6" s="6" t="inlineStr">
        <is>
          <t>rau_muong_xao_toi.jpg</t>
        </is>
      </c>
      <c r="N6" s="11" t="inlineStr">
        <is>
          <t>D:\AI\Restaurant\app\static\dishes\rau_muong_xao_toi.jpg</t>
        </is>
      </c>
      <c r="O6" s="11" t="inlineStr">
        <is>
          <t>https://pipogarden.com/static/dishes/rau_muong_xao_toi.jpg</t>
        </is>
      </c>
      <c r="P6" s="6" t="inlineStr">
        <is>
          <t>Rau muống xanh giòn xào tỏi thơm lừng</t>
        </is>
      </c>
    </row>
    <row r="7" ht="24" customHeight="1">
      <c r="A7" s="12" t="n">
        <v>144</v>
      </c>
      <c r="B7" s="13" t="inlineStr">
        <is>
          <t>🥗 Khai Vị</t>
        </is>
      </c>
      <c r="C7" s="13" t="inlineStr">
        <is>
          <t>Cải thìa</t>
        </is>
      </c>
      <c r="D7" s="14" t="inlineStr">
        <is>
          <t>Chọn vị chế biến: Sốt dầu hào, Xào tỏi, Luộc</t>
        </is>
      </c>
      <c r="E7" s="14" t="inlineStr">
        <is>
          <t>Đĩa 400g</t>
        </is>
      </c>
      <c r="F7" s="14" t="inlineStr">
        <is>
          <t>Cải Thìa Đà Lạt: 0.4 kg</t>
        </is>
      </c>
      <c r="G7" s="15" t="n">
        <v>59000</v>
      </c>
      <c r="H7" s="16" t="n">
        <v>10000</v>
      </c>
      <c r="I7" s="17">
        <f>IF(G7&gt;0, H7/G7, 0)</f>
        <v/>
      </c>
      <c r="J7" s="18" t="inlineStr">
        <is>
          <t>Bếp Lạnh</t>
        </is>
      </c>
      <c r="K7" s="18" t="inlineStr">
        <is>
          <t>Nhà Hàng</t>
        </is>
      </c>
      <c r="L7" s="18" t="inlineStr">
        <is>
          <t>Đang bán</t>
        </is>
      </c>
      <c r="M7" s="14" t="inlineStr">
        <is>
          <t>cai_thia_sot_dau_hao.jpg</t>
        </is>
      </c>
      <c r="N7" s="19" t="inlineStr">
        <is>
          <t>D:\AI\Restaurant\app\static\dishes\cai_thia_sot_dau_hao.jpg</t>
        </is>
      </c>
      <c r="O7" s="19" t="inlineStr">
        <is>
          <t>https://pipogarden.com/static/dishes/cai_thia_sot_dau_hao.jpg</t>
        </is>
      </c>
      <c r="P7" s="14" t="inlineStr">
        <is>
          <t>Cải thìa Đà Lạt sốt dầu hào tỏi thơm béo</t>
        </is>
      </c>
    </row>
    <row r="8" ht="24" customHeight="1">
      <c r="A8" s="4" t="n">
        <v>146</v>
      </c>
      <c r="B8" s="5" t="inlineStr">
        <is>
          <t>🥗 Khai Vị</t>
        </is>
      </c>
      <c r="C8" s="5" t="inlineStr">
        <is>
          <t>Đậu hũ</t>
        </is>
      </c>
      <c r="D8" s="6" t="inlineStr">
        <is>
          <t>Chọn vị chế biến: Chiên giòn, Tẩm hành, Chiên sả ớt</t>
        </is>
      </c>
      <c r="E8" s="6" t="inlineStr">
        <is>
          <t>Đĩa 4 bìa</t>
        </is>
      </c>
      <c r="F8" s="6" t="inlineStr">
        <is>
          <t>Đậu Hũ Non / Đậu Hũ Trắng: 4.0 bìa</t>
        </is>
      </c>
      <c r="G8" s="7" t="n">
        <v>79000</v>
      </c>
      <c r="H8" s="8" t="n">
        <v>16000</v>
      </c>
      <c r="I8" s="9">
        <f>IF(G8&gt;0, H8/G8, 0)</f>
        <v/>
      </c>
      <c r="J8" s="10" t="inlineStr">
        <is>
          <t>Bếp Nóng</t>
        </is>
      </c>
      <c r="K8" s="10" t="inlineStr">
        <is>
          <t>Nhà Hàng</t>
        </is>
      </c>
      <c r="L8" s="10" t="inlineStr">
        <is>
          <t>Đang bán</t>
        </is>
      </c>
      <c r="M8" s="6" t="inlineStr">
        <is>
          <t>dau_hu_chien_gion.jpg</t>
        </is>
      </c>
      <c r="N8" s="11" t="inlineStr">
        <is>
          <t>D:\AI\Restaurant\app\static\dishes\dau_hu_chien_gion.jpg</t>
        </is>
      </c>
      <c r="O8" s="11" t="inlineStr">
        <is>
          <t>https://pipogarden.com/static/dishes/dau_hu_chien_gion.jpg</t>
        </is>
      </c>
      <c r="P8" s="6" t="inlineStr">
        <is>
          <t>Đậu hũ non chiên giòn rụm, tẩm hành hoặc sả ớt</t>
        </is>
      </c>
    </row>
    <row r="9" ht="24" customHeight="1">
      <c r="A9" s="12" t="n">
        <v>147</v>
      </c>
      <c r="B9" s="13" t="inlineStr">
        <is>
          <t>🥗 Khai Vị</t>
        </is>
      </c>
      <c r="C9" s="13" t="inlineStr">
        <is>
          <t>Khoai môn</t>
        </is>
      </c>
      <c r="D9" s="14" t="inlineStr">
        <is>
          <t>Chọn vị chế biến: Chiên nước mắm, Chiên giòn</t>
        </is>
      </c>
      <c r="E9" s="14" t="inlineStr">
        <is>
          <t>Đĩa 350g</t>
        </is>
      </c>
      <c r="F9" s="14" t="inlineStr">
        <is>
          <t>Khoai Môn Cao Sản: 0.35 kg</t>
        </is>
      </c>
      <c r="G9" s="15" t="n">
        <v>79000</v>
      </c>
      <c r="H9" s="16" t="n">
        <v>12250</v>
      </c>
      <c r="I9" s="17">
        <f>IF(G9&gt;0, H9/G9, 0)</f>
        <v/>
      </c>
      <c r="J9" s="18" t="inlineStr">
        <is>
          <t>Bếp Nóng</t>
        </is>
      </c>
      <c r="K9" s="18" t="inlineStr">
        <is>
          <t>Nhà Hàng</t>
        </is>
      </c>
      <c r="L9" s="18" t="inlineStr">
        <is>
          <t>Đang bán</t>
        </is>
      </c>
      <c r="M9" s="14" t="inlineStr">
        <is>
          <t>khoai_mon_chien_nuoc_mam.jpg</t>
        </is>
      </c>
      <c r="N9" s="19" t="inlineStr">
        <is>
          <t>D:\AI\Restaurant\app\static\dishes\khoai_mon_chien_nuoc_mam.jpg</t>
        </is>
      </c>
      <c r="O9" s="19" t="inlineStr">
        <is>
          <t>https://pipogarden.com/static/dishes/khoai_mon_chien_nuoc_mam.jpg</t>
        </is>
      </c>
      <c r="P9" s="14" t="inlineStr">
        <is>
          <t>Khoai môn chiên nước mắm đậm đà bùi thơm</t>
        </is>
      </c>
    </row>
    <row r="10" ht="24" customHeight="1">
      <c r="A10" s="4" t="n">
        <v>205</v>
      </c>
      <c r="B10" s="5" t="inlineStr">
        <is>
          <t>🥗 Khai Vị</t>
        </is>
      </c>
      <c r="C10" s="5" t="inlineStr">
        <is>
          <t>Trứng gà luộc</t>
        </is>
      </c>
      <c r="D10" s="6" t="inlineStr">
        <is>
          <t>Tiêu chuẩn</t>
        </is>
      </c>
      <c r="E10" s="6" t="inlineStr">
        <is>
          <t>1 quả</t>
        </is>
      </c>
      <c r="F10" s="6" t="inlineStr">
        <is>
          <t>Chưa thiết lập BOM</t>
        </is>
      </c>
      <c r="G10" s="7" t="n">
        <v>10000</v>
      </c>
      <c r="H10" s="8" t="n">
        <v>0</v>
      </c>
      <c r="I10" s="9">
        <f>IF(G10&gt;0, H10/G10, 0)</f>
        <v/>
      </c>
      <c r="J10" s="10" t="inlineStr">
        <is>
          <t>Bếp Nóng</t>
        </is>
      </c>
      <c r="K10" s="10" t="inlineStr">
        <is>
          <t>Sân Pickleball</t>
        </is>
      </c>
      <c r="L10" s="10" t="inlineStr">
        <is>
          <t>Đang bán</t>
        </is>
      </c>
      <c r="M10" s="6" t="inlineStr">
        <is>
          <t>(Chưa có ảnh)</t>
        </is>
      </c>
      <c r="N10" s="6" t="inlineStr">
        <is>
          <t>(Chưa có ảnh)</t>
        </is>
      </c>
      <c r="O10" s="6" t="inlineStr"/>
      <c r="P10" s="6" t="inlineStr">
        <is>
          <t>Trứng gà ta luộc thơm ngon, giàu protein bổ sung năng lượng nhanh chóng cho người chơi thể thao tại sân Pickleball.</t>
        </is>
      </c>
    </row>
    <row r="11" ht="24" customHeight="1">
      <c r="A11" s="12" t="n">
        <v>206</v>
      </c>
      <c r="B11" s="13" t="inlineStr">
        <is>
          <t>🥗 Khai Vị</t>
        </is>
      </c>
      <c r="C11" s="13" t="inlineStr">
        <is>
          <t>Ngô luộc - Coming Soon</t>
        </is>
      </c>
      <c r="D11" s="14" t="inlineStr">
        <is>
          <t>Tiêu chuẩn</t>
        </is>
      </c>
      <c r="E11" s="14" t="inlineStr">
        <is>
          <t>1 bắp</t>
        </is>
      </c>
      <c r="F11" s="14" t="inlineStr">
        <is>
          <t>Chưa thiết lập BOM</t>
        </is>
      </c>
      <c r="G11" s="15" t="n">
        <v>0</v>
      </c>
      <c r="H11" s="16" t="n">
        <v>0</v>
      </c>
      <c r="I11" s="17">
        <f>IF(G11&gt;0, H11/G11, 0)</f>
        <v/>
      </c>
      <c r="J11" s="18" t="inlineStr">
        <is>
          <t>Bếp Nóng</t>
        </is>
      </c>
      <c r="K11" s="18" t="inlineStr">
        <is>
          <t>Sân Pickleball</t>
        </is>
      </c>
      <c r="L11" s="18" t="inlineStr">
        <is>
          <t>Tạm ngưng</t>
        </is>
      </c>
      <c r="M11" s="14" t="inlineStr">
        <is>
          <t>(Chưa có ảnh)</t>
        </is>
      </c>
      <c r="N11" s="14" t="inlineStr">
        <is>
          <t>(Chưa có ảnh)</t>
        </is>
      </c>
      <c r="O11" s="14" t="inlineStr"/>
      <c r="P11" s="14" t="inlineStr">
        <is>
          <t>Bắp ngô ngọt luộc nóng hổi, thơm bùi tự nhiên (Món sắp ra mắt - Coming Soon).</t>
        </is>
      </c>
    </row>
    <row r="12" ht="24" customHeight="1">
      <c r="A12" s="4" t="n">
        <v>311</v>
      </c>
      <c r="B12" s="5" t="inlineStr">
        <is>
          <t>🥗 Khai Vị</t>
        </is>
      </c>
      <c r="C12" s="5" t="inlineStr">
        <is>
          <t>Cải Thìa Đông Cô Sốt Bào Ngư</t>
        </is>
      </c>
      <c r="D12" s="6" t="inlineStr">
        <is>
          <t>Tiêu chuẩn</t>
        </is>
      </c>
      <c r="E12" s="6" t="inlineStr">
        <is>
          <t>Dĩa 5 con bào ngư</t>
        </is>
      </c>
      <c r="F12" s="6" t="inlineStr">
        <is>
          <t>Cải Thìa Đà Lạt: 1.0 kg</t>
        </is>
      </c>
      <c r="G12" s="7" t="n">
        <v>200000</v>
      </c>
      <c r="H12" s="8" t="n">
        <v>25000</v>
      </c>
      <c r="I12" s="9">
        <f>IF(G12&gt;0, H12/G12, 0)</f>
        <v/>
      </c>
      <c r="J12" s="10" t="inlineStr">
        <is>
          <t>Bếp Nóng</t>
        </is>
      </c>
      <c r="K12" s="10" t="inlineStr">
        <is>
          <t>Nhà Hàng</t>
        </is>
      </c>
      <c r="L12" s="10" t="inlineStr">
        <is>
          <t>Đang bán</t>
        </is>
      </c>
      <c r="M12" s="6" t="inlineStr">
        <is>
          <t>logo.png</t>
        </is>
      </c>
      <c r="N12" s="11" t="inlineStr">
        <is>
          <t>D:\AI\Restaurant\app\static\logo.png</t>
        </is>
      </c>
      <c r="O12" s="11" t="inlineStr">
        <is>
          <t>https://pipogarden.com/static/logo.png</t>
        </is>
      </c>
      <c r="P12" s="6" t="inlineStr"/>
    </row>
    <row r="13" ht="24" customHeight="1">
      <c r="A13" s="12" t="n">
        <v>312</v>
      </c>
      <c r="B13" s="13" t="inlineStr">
        <is>
          <t>🥗 Khai Vị</t>
        </is>
      </c>
      <c r="C13" s="13" t="inlineStr">
        <is>
          <t>Cà tím</t>
        </is>
      </c>
      <c r="D13" s="14" t="inlineStr">
        <is>
          <t>Chọn vị chế biến: Chiên nước mắm</t>
        </is>
      </c>
      <c r="E13" s="14" t="inlineStr">
        <is>
          <t>Đĩa 350g</t>
        </is>
      </c>
      <c r="F13" s="14" t="inlineStr">
        <is>
          <t>Nguyên liệu Cà tím: 1.0 đĩa</t>
        </is>
      </c>
      <c r="G13" s="15" t="n">
        <v>69000</v>
      </c>
      <c r="H13" s="16" t="n">
        <v>12000</v>
      </c>
      <c r="I13" s="17">
        <f>IF(G13&gt;0, H13/G13, 0)</f>
        <v/>
      </c>
      <c r="J13" s="18" t="inlineStr">
        <is>
          <t>Bếp Nóng</t>
        </is>
      </c>
      <c r="K13" s="18" t="inlineStr">
        <is>
          <t>Nhà Hàng</t>
        </is>
      </c>
      <c r="L13" s="18" t="inlineStr">
        <is>
          <t>Đang bán</t>
        </is>
      </c>
      <c r="M13" s="14" t="inlineStr">
        <is>
          <t>logo.png</t>
        </is>
      </c>
      <c r="N13" s="19" t="inlineStr">
        <is>
          <t>D:\AI\Restaurant\app\static\logo.png</t>
        </is>
      </c>
      <c r="O13" s="19" t="inlineStr">
        <is>
          <t>https://pipogarden.com/static/logo.png</t>
        </is>
      </c>
      <c r="P13" s="14" t="inlineStr">
        <is>
          <t>Cà tím chiên nước mắm thơm giòn đậm vị</t>
        </is>
      </c>
    </row>
    <row r="14" ht="24" customHeight="1">
      <c r="A14" s="4" t="n">
        <v>148</v>
      </c>
      <c r="B14" s="5" t="inlineStr">
        <is>
          <t>🍗 Gà - Vịt</t>
        </is>
      </c>
      <c r="C14" s="5" t="inlineStr">
        <is>
          <t>Gà đen nguyên con</t>
        </is>
      </c>
      <c r="D14" s="6" t="inlineStr">
        <is>
          <t>Chọn vị chế biến: Hấp mắm nhĩ, Chiên mắm, Nướng muối ớt</t>
        </is>
      </c>
      <c r="E14" s="6" t="inlineStr">
        <is>
          <t>Gà 1 con (1.3kg)</t>
        </is>
      </c>
      <c r="F14" s="6" t="inlineStr">
        <is>
          <t>Gà Đen H'Mông Thả Vườn: 1.301 kg</t>
        </is>
      </c>
      <c r="G14" s="7" t="n">
        <v>399000</v>
      </c>
      <c r="H14" s="8" t="n">
        <v>182140</v>
      </c>
      <c r="I14" s="9">
        <f>IF(G14&gt;0, H14/G14, 0)</f>
        <v/>
      </c>
      <c r="J14" s="10" t="inlineStr">
        <is>
          <t>Bếp Nóng</t>
        </is>
      </c>
      <c r="K14" s="10" t="inlineStr">
        <is>
          <t>Nhà Hàng</t>
        </is>
      </c>
      <c r="L14" s="10" t="inlineStr">
        <is>
          <t>Đang bán</t>
        </is>
      </c>
      <c r="M14" s="6" t="inlineStr">
        <is>
          <t>ga_en_nguyen_con.jpg</t>
        </is>
      </c>
      <c r="N14" s="11" t="inlineStr">
        <is>
          <t>D:\AI\Restaurant\app\static\dishes\ga_en_nguyen_con.jpg</t>
        </is>
      </c>
      <c r="O14" s="11" t="inlineStr">
        <is>
          <t>https://pipogarden.com/static/dishes/ga_en_nguyen_con.jpg</t>
        </is>
      </c>
      <c r="P14" s="6" t="inlineStr">
        <is>
          <t>Gà đen thả vườn da giòn thịt ngọt bổ dưỡng</t>
        </is>
      </c>
    </row>
    <row r="15" ht="24" customHeight="1">
      <c r="A15" s="12" t="n">
        <v>150</v>
      </c>
      <c r="B15" s="13" t="inlineStr">
        <is>
          <t>🍗 Gà - Vịt</t>
        </is>
      </c>
      <c r="C15" s="13" t="inlineStr">
        <is>
          <t>Gà ta nguyên con</t>
        </is>
      </c>
      <c r="D15" s="14" t="inlineStr">
        <is>
          <t>Chọn vị chế biến: Luộc kèm cháo, Hấp hành, Hấp mắm nhĩ, Chiên mắm, Nấu chanh ớt, Nướng muối ớt</t>
        </is>
      </c>
      <c r="E15" s="14" t="inlineStr">
        <is>
          <t>Gà 1 con (1.3kg) + cháo/lòng mề</t>
        </is>
      </c>
      <c r="F15" s="14" t="inlineStr">
        <is>
          <t>Gà Ta Thả Vườn Làm Sạch: 1.301 kg</t>
        </is>
      </c>
      <c r="G15" s="15" t="n">
        <v>350000</v>
      </c>
      <c r="H15" s="16" t="n">
        <v>106682</v>
      </c>
      <c r="I15" s="17">
        <f>IF(G15&gt;0, H15/G15, 0)</f>
        <v/>
      </c>
      <c r="J15" s="18" t="inlineStr">
        <is>
          <t>Bếp Nóng</t>
        </is>
      </c>
      <c r="K15" s="18" t="inlineStr">
        <is>
          <t>Nhà Hàng</t>
        </is>
      </c>
      <c r="L15" s="18" t="inlineStr">
        <is>
          <t>Đang bán</t>
        </is>
      </c>
      <c r="M15" s="14" t="inlineStr">
        <is>
          <t>ga_nuong_muoi_ot_long_me_xao.jpg</t>
        </is>
      </c>
      <c r="N15" s="19" t="inlineStr">
        <is>
          <t>D:\AI\Restaurant\app\static\dishes\ga_nuong_muoi_ot_long_me_xao.jpg</t>
        </is>
      </c>
      <c r="O15" s="19" t="inlineStr">
        <is>
          <t>https://pipogarden.com/static/dishes/ga_nuong_muoi_ot_long_me_xao.jpg</t>
        </is>
      </c>
      <c r="P15" s="14" t="inlineStr">
        <is>
          <t>Gà ta thả vườn Phú Quốc thịt chắc ngọt thơm ngon</t>
        </is>
      </c>
    </row>
    <row r="16" ht="24" customHeight="1">
      <c r="A16" s="4" t="n">
        <v>157</v>
      </c>
      <c r="B16" s="5" t="inlineStr">
        <is>
          <t>🍗 Gà - Vịt</t>
        </is>
      </c>
      <c r="C16" s="5" t="inlineStr">
        <is>
          <t>Cánh gà</t>
        </is>
      </c>
      <c r="D16" s="6" t="inlineStr">
        <is>
          <t>Chọn vị chế biến: Chiên nước mắm, Nướng muối ớt</t>
        </is>
      </c>
      <c r="E16" s="6" t="inlineStr">
        <is>
          <t>Dĩa 3 cái (400g)</t>
        </is>
      </c>
      <c r="F16" s="6" t="inlineStr">
        <is>
          <t>Cánh Gà Tươi Chọn Lọc: 0.4 kg</t>
        </is>
      </c>
      <c r="G16" s="7" t="n">
        <v>99000</v>
      </c>
      <c r="H16" s="8" t="n">
        <v>34000</v>
      </c>
      <c r="I16" s="9">
        <f>IF(G16&gt;0, H16/G16, 0)</f>
        <v/>
      </c>
      <c r="J16" s="10" t="inlineStr">
        <is>
          <t>Bếp Nóng</t>
        </is>
      </c>
      <c r="K16" s="10" t="inlineStr">
        <is>
          <t>Nhà Hàng</t>
        </is>
      </c>
      <c r="L16" s="10" t="inlineStr">
        <is>
          <t>Đang bán</t>
        </is>
      </c>
      <c r="M16" s="6" t="inlineStr">
        <is>
          <t>canh_ga_nuong_muoi_ot.jpg</t>
        </is>
      </c>
      <c r="N16" s="11" t="inlineStr">
        <is>
          <t>D:\AI\Restaurant\app\static\dishes\canh_ga_nuong_muoi_ot.jpg</t>
        </is>
      </c>
      <c r="O16" s="11" t="inlineStr">
        <is>
          <t>https://pipogarden.com/static/dishes/canh_ga_nuong_muoi_ot.jpg</t>
        </is>
      </c>
      <c r="P16" s="6" t="inlineStr">
        <is>
          <t>Cánh gà tươi giòn rụm đậm đà hương vị</t>
        </is>
      </c>
    </row>
    <row r="17" ht="24" customHeight="1">
      <c r="A17" s="12" t="n">
        <v>159</v>
      </c>
      <c r="B17" s="13" t="inlineStr">
        <is>
          <t>🍗 Gà - Vịt</t>
        </is>
      </c>
      <c r="C17" s="13" t="inlineStr">
        <is>
          <t>Vịt quay thảo mộc</t>
        </is>
      </c>
      <c r="D17" s="14" t="inlineStr">
        <is>
          <t>Tiêu chuẩn</t>
        </is>
      </c>
      <c r="E17" s="14" t="inlineStr">
        <is>
          <t>Vịt 1/2 con (900g)</t>
        </is>
      </c>
      <c r="F17" s="14" t="inlineStr">
        <is>
          <t>Vịt Tươi Nguyên Con: 0.95 kg</t>
        </is>
      </c>
      <c r="G17" s="15" t="n">
        <v>250000</v>
      </c>
      <c r="H17" s="16" t="n">
        <v>74100</v>
      </c>
      <c r="I17" s="17">
        <f>IF(G17&gt;0, H17/G17, 0)</f>
        <v/>
      </c>
      <c r="J17" s="18" t="inlineStr">
        <is>
          <t>Bếp Nóng</t>
        </is>
      </c>
      <c r="K17" s="18" t="inlineStr">
        <is>
          <t>Nhà Hàng</t>
        </is>
      </c>
      <c r="L17" s="18" t="inlineStr">
        <is>
          <t>Đang bán</t>
        </is>
      </c>
      <c r="M17" s="14" t="inlineStr">
        <is>
          <t>vit_quay_thao_moc.jpg</t>
        </is>
      </c>
      <c r="N17" s="19" t="inlineStr">
        <is>
          <t>D:\AI\Restaurant\app\static\dishes\vit_quay_thao_moc.jpg</t>
        </is>
      </c>
      <c r="O17" s="19" t="inlineStr">
        <is>
          <t>https://pipogarden.com/static/dishes/vit_quay_thao_moc.jpg</t>
        </is>
      </c>
      <c r="P17" s="14" t="inlineStr">
        <is>
          <t>Gà - Vịt • Nửa con • Định lượng: Vịt nửa con (~900g - 1kg)</t>
        </is>
      </c>
    </row>
    <row r="18" ht="24" customHeight="1">
      <c r="A18" s="4" t="n">
        <v>160</v>
      </c>
      <c r="B18" s="5" t="inlineStr">
        <is>
          <t>🍗 Gà - Vịt</t>
        </is>
      </c>
      <c r="C18" s="5" t="inlineStr">
        <is>
          <t>Chân gà</t>
        </is>
      </c>
      <c r="D18" s="6" t="inlineStr">
        <is>
          <t>Chọn vị chế biến: Cháy tỏi, Chiên mắm, Nướng muối ớt</t>
        </is>
      </c>
      <c r="E18" s="6" t="inlineStr">
        <is>
          <t>Dĩa 5 cặp</t>
        </is>
      </c>
      <c r="F18" s="6" t="inlineStr">
        <is>
          <t>Chân Gà Tươi Chọn Lọc: 0.35 kg</t>
        </is>
      </c>
      <c r="G18" s="7" t="n">
        <v>79000</v>
      </c>
      <c r="H18" s="8" t="n">
        <v>28000</v>
      </c>
      <c r="I18" s="9">
        <f>IF(G18&gt;0, H18/G18, 0)</f>
        <v/>
      </c>
      <c r="J18" s="10" t="inlineStr">
        <is>
          <t>Bếp Nóng</t>
        </is>
      </c>
      <c r="K18" s="10" t="inlineStr">
        <is>
          <t>Nhà Hàng</t>
        </is>
      </c>
      <c r="L18" s="10" t="inlineStr">
        <is>
          <t>Đang bán</t>
        </is>
      </c>
      <c r="M18" s="6" t="inlineStr">
        <is>
          <t>chan_ga_nuong.jpg</t>
        </is>
      </c>
      <c r="N18" s="11" t="inlineStr">
        <is>
          <t>D:\AI\Restaurant\app\static\dishes\chan_ga_nuong.jpg</t>
        </is>
      </c>
      <c r="O18" s="11" t="inlineStr">
        <is>
          <t>https://pipogarden.com/static/dishes/chan_ga_nuong.jpg</t>
        </is>
      </c>
      <c r="P18" s="6" t="inlineStr">
        <is>
          <t>Chân gà mạ cháy tỏi, chiên mắm hoặc nướng muối ớt</t>
        </is>
      </c>
    </row>
    <row r="19" ht="24" customHeight="1">
      <c r="A19" s="12" t="n">
        <v>317</v>
      </c>
      <c r="B19" s="13" t="inlineStr">
        <is>
          <t>🍗 Gà - Vịt</t>
        </is>
      </c>
      <c r="C19" s="13" t="inlineStr">
        <is>
          <t>Đùi gà</t>
        </is>
      </c>
      <c r="D19" s="14" t="inlineStr">
        <is>
          <t>Chọn vị chế biến: Sốt mật ong, Sốt mắm tỏi, Nướng BBQ</t>
        </is>
      </c>
      <c r="E19" s="14" t="inlineStr">
        <is>
          <t>Đĩa 2 đùi lớn</t>
        </is>
      </c>
      <c r="F19" s="14" t="inlineStr">
        <is>
          <t>Nguyên liệu Đùi gà: 1.0 đĩa</t>
        </is>
      </c>
      <c r="G19" s="15" t="n">
        <v>99000</v>
      </c>
      <c r="H19" s="16" t="n">
        <v>32000</v>
      </c>
      <c r="I19" s="17">
        <f>IF(G19&gt;0, H19/G19, 0)</f>
        <v/>
      </c>
      <c r="J19" s="18" t="inlineStr">
        <is>
          <t>Bếp Nóng</t>
        </is>
      </c>
      <c r="K19" s="18" t="inlineStr">
        <is>
          <t>Nhà Hàng</t>
        </is>
      </c>
      <c r="L19" s="18" t="inlineStr">
        <is>
          <t>Đang bán</t>
        </is>
      </c>
      <c r="M19" s="14" t="inlineStr">
        <is>
          <t>logo.png</t>
        </is>
      </c>
      <c r="N19" s="19" t="inlineStr">
        <is>
          <t>D:\AI\Restaurant\app\static\logo.png</t>
        </is>
      </c>
      <c r="O19" s="19" t="inlineStr">
        <is>
          <t>https://pipogarden.com/static/logo.png</t>
        </is>
      </c>
      <c r="P19" s="14" t="inlineStr">
        <is>
          <t>Đùi gà nướng sốt mật ong thơm ngọt mọng nước</t>
        </is>
      </c>
    </row>
    <row r="20" ht="24" customHeight="1">
      <c r="A20" s="4" t="n">
        <v>145</v>
      </c>
      <c r="B20" s="5" t="inlineStr">
        <is>
          <t>🥩 Heo - Bò</t>
        </is>
      </c>
      <c r="C20" s="5" t="inlineStr">
        <is>
          <t>Bò sốt tiêu đen</t>
        </is>
      </c>
      <c r="D20" s="6" t="inlineStr">
        <is>
          <t>Tiêu chuẩn</t>
        </is>
      </c>
      <c r="E20" s="6" t="inlineStr">
        <is>
          <t>Gói chuẩn bị sẵn 250g</t>
        </is>
      </c>
      <c r="F20" s="6" t="inlineStr">
        <is>
          <t>Gói Bò Xuyên Tiêu Chuẩn Bị Sẵn: 1.0 gói</t>
        </is>
      </c>
      <c r="G20" s="7" t="n">
        <v>279000</v>
      </c>
      <c r="H20" s="8" t="n">
        <v>85000</v>
      </c>
      <c r="I20" s="9">
        <f>IF(G20&gt;0, H20/G20, 0)</f>
        <v/>
      </c>
      <c r="J20" s="10" t="inlineStr">
        <is>
          <t>Bếp Lạnh</t>
        </is>
      </c>
      <c r="K20" s="10" t="inlineStr">
        <is>
          <t>Nhà Hàng</t>
        </is>
      </c>
      <c r="L20" s="10" t="inlineStr">
        <is>
          <t>Đang bán</t>
        </is>
      </c>
      <c r="M20" s="6" t="inlineStr">
        <is>
          <t>bo_xuyen_tieu.jpg</t>
        </is>
      </c>
      <c r="N20" s="11" t="inlineStr">
        <is>
          <t>D:\AI\Restaurant\app\static\dishes\bo_xuyen_tieu.jpg</t>
        </is>
      </c>
      <c r="O20" s="11" t="inlineStr">
        <is>
          <t>https://pipogarden.com/static/dishes/bo_xuyen_tieu.jpg</t>
        </is>
      </c>
      <c r="P20" s="6" t="inlineStr">
        <is>
          <t>Bò mềm quyện sốt tiêu đen Phú Quốc đặc sản</t>
        </is>
      </c>
    </row>
    <row r="21" ht="24" customHeight="1">
      <c r="A21" s="12" t="n">
        <v>161</v>
      </c>
      <c r="B21" s="13" t="inlineStr">
        <is>
          <t>🥩 Heo - Bò</t>
        </is>
      </c>
      <c r="C21" s="13" t="inlineStr">
        <is>
          <t>Ba chỉ heo</t>
        </is>
      </c>
      <c r="D21" s="14" t="inlineStr">
        <is>
          <t>Chọn vị chế biến: Nướng riềng mẻ, Chiên giòn, Chiên nước mắm, Nướng muối ớt</t>
        </is>
      </c>
      <c r="E21" s="14" t="inlineStr">
        <is>
          <t>Dĩa 350g</t>
        </is>
      </c>
      <c r="F21" s="14" t="inlineStr">
        <is>
          <t>Thịt Chân Giò / Ba Chỉ Heo: 0.35 kg</t>
        </is>
      </c>
      <c r="G21" s="15" t="n">
        <v>150000</v>
      </c>
      <c r="H21" s="16" t="n">
        <v>43750</v>
      </c>
      <c r="I21" s="17">
        <f>IF(G21&gt;0, H21/G21, 0)</f>
        <v/>
      </c>
      <c r="J21" s="18" t="inlineStr">
        <is>
          <t>Bếp Nóng</t>
        </is>
      </c>
      <c r="K21" s="18" t="inlineStr">
        <is>
          <t>Nhà Hàng</t>
        </is>
      </c>
      <c r="L21" s="18" t="inlineStr">
        <is>
          <t>Đang bán</t>
        </is>
      </c>
      <c r="M21" s="14" t="inlineStr">
        <is>
          <t>heo_nuong_gieng_me.jpg</t>
        </is>
      </c>
      <c r="N21" s="19" t="inlineStr">
        <is>
          <t>D:\AI\Restaurant\app\static\dishes\heo_nuong_gieng_me.jpg</t>
        </is>
      </c>
      <c r="O21" s="19" t="inlineStr">
        <is>
          <t>https://pipogarden.com/static/dishes/heo_nuong_gieng_me.jpg</t>
        </is>
      </c>
      <c r="P21" s="14" t="inlineStr">
        <is>
          <t>Ba chỉ heo nướng riềng mẻ hoặc chiên mắm giòn rụm</t>
        </is>
      </c>
    </row>
    <row r="22" ht="24" customHeight="1">
      <c r="A22" s="4" t="n">
        <v>201</v>
      </c>
      <c r="B22" s="5" t="inlineStr">
        <is>
          <t>🥩 Heo - Bò</t>
        </is>
      </c>
      <c r="C22" s="5" t="inlineStr">
        <is>
          <t>Sườn heo</t>
        </is>
      </c>
      <c r="D22" s="6" t="inlineStr">
        <is>
          <t>Chọn vị chế biến: Sốt chua ngọt, Nướng muối ớt, BBQ, Chiên mắm</t>
        </is>
      </c>
      <c r="E22" s="6" t="inlineStr">
        <is>
          <t>Dĩa 400g</t>
        </is>
      </c>
      <c r="F22" s="6" t="inlineStr">
        <is>
          <t>Thịt Chân Giò / Ba Chỉ Heo: 0.4 kg</t>
        </is>
      </c>
      <c r="G22" s="7" t="n">
        <v>150000</v>
      </c>
      <c r="H22" s="8" t="n">
        <v>50000</v>
      </c>
      <c r="I22" s="9">
        <f>IF(G22&gt;0, H22/G22, 0)</f>
        <v/>
      </c>
      <c r="J22" s="10" t="inlineStr">
        <is>
          <t>Bếp Nóng</t>
        </is>
      </c>
      <c r="K22" s="10" t="inlineStr">
        <is>
          <t>Nhà Hàng</t>
        </is>
      </c>
      <c r="L22" s="10" t="inlineStr">
        <is>
          <t>Đang bán</t>
        </is>
      </c>
      <c r="M22" s="6" t="inlineStr">
        <is>
          <t>suon_heo_nuong_muoi_ot.jpg</t>
        </is>
      </c>
      <c r="N22" s="11" t="inlineStr">
        <is>
          <t>D:\AI\Restaurant\app\static\dishes\suon_heo_nuong_muoi_ot.jpg</t>
        </is>
      </c>
      <c r="O22" s="11" t="inlineStr">
        <is>
          <t>https://pipogarden.com/static/dishes/suon_heo_nuong_muoi_ot.jpg</t>
        </is>
      </c>
      <c r="P22" s="6" t="inlineStr">
        <is>
          <t>Sườn heo que nướng than hoa đậm đà thơm phức</t>
        </is>
      </c>
    </row>
    <row r="23" ht="24" customHeight="1">
      <c r="A23" s="12" t="n">
        <v>313</v>
      </c>
      <c r="B23" s="13" t="inlineStr">
        <is>
          <t>🥩 Heo - Bò</t>
        </is>
      </c>
      <c r="C23" s="13" t="inlineStr">
        <is>
          <t>Bò lúc lắc</t>
        </is>
      </c>
      <c r="D23" s="14" t="inlineStr">
        <is>
          <t>Chọn vị chế biến: Kèm khoai tây chiên</t>
        </is>
      </c>
      <c r="E23" s="14" t="inlineStr">
        <is>
          <t>Đĩa 250g bò</t>
        </is>
      </c>
      <c r="F23" s="14" t="inlineStr">
        <is>
          <t>Thịt Bò Thăn Mềm Tươi: 1.0 kg</t>
        </is>
      </c>
      <c r="G23" s="15" t="n">
        <v>180000</v>
      </c>
      <c r="H23" s="16" t="n">
        <v>260000</v>
      </c>
      <c r="I23" s="17">
        <f>IF(G23&gt;0, H23/G23, 0)</f>
        <v/>
      </c>
      <c r="J23" s="18" t="inlineStr">
        <is>
          <t>Bếp Nóng</t>
        </is>
      </c>
      <c r="K23" s="18" t="inlineStr">
        <is>
          <t>Nhà Hàng</t>
        </is>
      </c>
      <c r="L23" s="18" t="inlineStr">
        <is>
          <t>Đang bán</t>
        </is>
      </c>
      <c r="M23" s="14" t="inlineStr">
        <is>
          <t>logo.png</t>
        </is>
      </c>
      <c r="N23" s="19" t="inlineStr">
        <is>
          <t>D:\AI\Restaurant\app\static\logo.png</t>
        </is>
      </c>
      <c r="O23" s="19" t="inlineStr">
        <is>
          <t>https://pipogarden.com/static/logo.png</t>
        </is>
      </c>
      <c r="P23" s="14" t="inlineStr">
        <is>
          <t>Bò thăn lúc lắc mềm ngon kèm khoai tây chiên</t>
        </is>
      </c>
    </row>
    <row r="24" ht="24" customHeight="1">
      <c r="A24" s="4" t="n">
        <v>314</v>
      </c>
      <c r="B24" s="5" t="inlineStr">
        <is>
          <t>🥩 Heo - Bò</t>
        </is>
      </c>
      <c r="C24" s="5" t="inlineStr">
        <is>
          <t>Sườn bò</t>
        </is>
      </c>
      <c r="D24" s="6" t="inlineStr">
        <is>
          <t>Chọn vị chế biến: Nướng Sốt BBQ, Nướng sốt mắm nhĩ</t>
        </is>
      </c>
      <c r="E24" s="6" t="inlineStr">
        <is>
          <t>Phần 300g</t>
        </is>
      </c>
      <c r="F24" s="6" t="inlineStr">
        <is>
          <t>Nguyên liệu Sườn bò: 1.0 phần</t>
        </is>
      </c>
      <c r="G24" s="7" t="n">
        <v>220000</v>
      </c>
      <c r="H24" s="8" t="n">
        <v>70000</v>
      </c>
      <c r="I24" s="9">
        <f>IF(G24&gt;0, H24/G24, 0)</f>
        <v/>
      </c>
      <c r="J24" s="10" t="inlineStr">
        <is>
          <t>Bếp Nóng</t>
        </is>
      </c>
      <c r="K24" s="10" t="inlineStr">
        <is>
          <t>Nhà Hàng</t>
        </is>
      </c>
      <c r="L24" s="10" t="inlineStr">
        <is>
          <t>Đang bán</t>
        </is>
      </c>
      <c r="M24" s="6" t="inlineStr">
        <is>
          <t>logo.png</t>
        </is>
      </c>
      <c r="N24" s="11" t="inlineStr">
        <is>
          <t>D:\AI\Restaurant\app\static\logo.png</t>
        </is>
      </c>
      <c r="O24" s="11" t="inlineStr">
        <is>
          <t>https://pipogarden.com/static/logo.png</t>
        </is>
      </c>
      <c r="P24" s="6" t="inlineStr">
        <is>
          <t>Bò nướng tảng than hoa thơm lừng mọng nước</t>
        </is>
      </c>
    </row>
    <row r="25" ht="24" customHeight="1">
      <c r="A25" s="12" t="n">
        <v>315</v>
      </c>
      <c r="B25" s="13" t="inlineStr">
        <is>
          <t>🥩 Heo - Bò</t>
        </is>
      </c>
      <c r="C25" s="13" t="inlineStr">
        <is>
          <t>Bò cháy tỏi</t>
        </is>
      </c>
      <c r="D25" s="14" t="inlineStr">
        <is>
          <t>Tiêu chuẩn</t>
        </is>
      </c>
      <c r="E25" s="14" t="inlineStr">
        <is>
          <t>Đĩa 250g</t>
        </is>
      </c>
      <c r="F25" s="14" t="inlineStr">
        <is>
          <t>Thịt Bò Thăn Mềm Tươi: 1.0 kg</t>
        </is>
      </c>
      <c r="G25" s="15" t="n">
        <v>180000</v>
      </c>
      <c r="H25" s="16" t="n">
        <v>260000</v>
      </c>
      <c r="I25" s="17">
        <f>IF(G25&gt;0, H25/G25, 0)</f>
        <v/>
      </c>
      <c r="J25" s="18" t="inlineStr">
        <is>
          <t>Bếp Nóng</t>
        </is>
      </c>
      <c r="K25" s="18" t="inlineStr">
        <is>
          <t>Nhà Hàng</t>
        </is>
      </c>
      <c r="L25" s="18" t="inlineStr">
        <is>
          <t>Đang bán</t>
        </is>
      </c>
      <c r="M25" s="14" t="inlineStr">
        <is>
          <t>logo.png</t>
        </is>
      </c>
      <c r="N25" s="19" t="inlineStr">
        <is>
          <t>D:\AI\Restaurant\app\static\logo.png</t>
        </is>
      </c>
      <c r="O25" s="19" t="inlineStr">
        <is>
          <t>https://pipogarden.com/static/logo.png</t>
        </is>
      </c>
      <c r="P25" s="14" t="inlineStr">
        <is>
          <t>Bò thăn mềm xào tỏi phi giòn rụm</t>
        </is>
      </c>
    </row>
    <row r="26" ht="24" customHeight="1">
      <c r="A26" s="4" t="n">
        <v>316</v>
      </c>
      <c r="B26" s="5" t="inlineStr">
        <is>
          <t>🥩 Heo - Bò</t>
        </is>
      </c>
      <c r="C26" s="5" t="inlineStr">
        <is>
          <t>Bò xào rau muống</t>
        </is>
      </c>
      <c r="D26" s="6" t="inlineStr">
        <is>
          <t>Tiêu chuẩn</t>
        </is>
      </c>
      <c r="E26" s="6" t="inlineStr">
        <is>
          <t>Đĩa 200g bò + rau</t>
        </is>
      </c>
      <c r="F26" s="6" t="inlineStr">
        <is>
          <t>Thịt Bò Thăn Mềm Tươi: 1.0 kg</t>
        </is>
      </c>
      <c r="G26" s="7" t="n">
        <v>150000</v>
      </c>
      <c r="H26" s="8" t="n">
        <v>260000</v>
      </c>
      <c r="I26" s="9">
        <f>IF(G26&gt;0, H26/G26, 0)</f>
        <v/>
      </c>
      <c r="J26" s="10" t="inlineStr">
        <is>
          <t>Bếp Nóng</t>
        </is>
      </c>
      <c r="K26" s="10" t="inlineStr">
        <is>
          <t>Nhà Hàng</t>
        </is>
      </c>
      <c r="L26" s="10" t="inlineStr">
        <is>
          <t>Đang bán</t>
        </is>
      </c>
      <c r="M26" s="6" t="inlineStr">
        <is>
          <t>logo.png</t>
        </is>
      </c>
      <c r="N26" s="11" t="inlineStr">
        <is>
          <t>D:\AI\Restaurant\app\static\logo.png</t>
        </is>
      </c>
      <c r="O26" s="11" t="inlineStr">
        <is>
          <t>https://pipogarden.com/static/logo.png</t>
        </is>
      </c>
      <c r="P26" s="6" t="inlineStr">
        <is>
          <t>Bò xào rau muống đồng giòn ngọt đậm đà</t>
        </is>
      </c>
    </row>
    <row r="27" ht="24" customHeight="1">
      <c r="A27" s="12" t="n">
        <v>319</v>
      </c>
      <c r="B27" s="13" t="inlineStr">
        <is>
          <t>🥩 Heo - Bò</t>
        </is>
      </c>
      <c r="C27" s="13" t="inlineStr">
        <is>
          <t>Má heo</t>
        </is>
      </c>
      <c r="D27" s="14" t="inlineStr">
        <is>
          <t>Chọn vị chế biến: Cháy tỏi</t>
        </is>
      </c>
      <c r="E27" s="14" t="inlineStr">
        <is>
          <t>Đĩa 250g</t>
        </is>
      </c>
      <c r="F27" s="14" t="inlineStr">
        <is>
          <t>Nguyên liệu Má heo: 1.0 đĩa</t>
        </is>
      </c>
      <c r="G27" s="15" t="n">
        <v>150000</v>
      </c>
      <c r="H27" s="16" t="n">
        <v>45000</v>
      </c>
      <c r="I27" s="17">
        <f>IF(G27&gt;0, H27/G27, 0)</f>
        <v/>
      </c>
      <c r="J27" s="18" t="inlineStr">
        <is>
          <t>Bếp Nóng</t>
        </is>
      </c>
      <c r="K27" s="18" t="inlineStr">
        <is>
          <t>Nhà Hàng</t>
        </is>
      </c>
      <c r="L27" s="18" t="inlineStr">
        <is>
          <t>Đang bán</t>
        </is>
      </c>
      <c r="M27" s="14" t="inlineStr">
        <is>
          <t>logo.png</t>
        </is>
      </c>
      <c r="N27" s="19" t="inlineStr">
        <is>
          <t>D:\AI\Restaurant\app\static\logo.png</t>
        </is>
      </c>
      <c r="O27" s="19" t="inlineStr">
        <is>
          <t>https://pipogarden.com/static/logo.png</t>
        </is>
      </c>
      <c r="P27" s="14" t="inlineStr">
        <is>
          <t>Má heo giòn ngậy xào cháy tỏi thơm lừng</t>
        </is>
      </c>
    </row>
    <row r="28" ht="24" customHeight="1">
      <c r="A28" s="4" t="n">
        <v>139</v>
      </c>
      <c r="B28" s="5" t="inlineStr">
        <is>
          <t>🦐 Hải Sản</t>
        </is>
      </c>
      <c r="C28" s="5" t="inlineStr">
        <is>
          <t>Gỏi khoai môn hải sản</t>
        </is>
      </c>
      <c r="D28" s="6" t="inlineStr">
        <is>
          <t>Tiêu chuẩn</t>
        </is>
      </c>
      <c r="E28" s="6" t="inlineStr">
        <is>
          <t>Khoai môn 300g, hải sản 120g</t>
        </is>
      </c>
      <c r="F28" s="6" t="inlineStr">
        <is>
          <t>Tôm Sú / Tôm Thẻ Tươi Phú Quốc: 0.06 kg; Khoai Môn Cao Sản: 0.3 kg; Mực Ống Tươi Phú Quốc: 0.06 kg</t>
        </is>
      </c>
      <c r="G28" s="7" t="n">
        <v>99000</v>
      </c>
      <c r="H28" s="8" t="n">
        <v>34500</v>
      </c>
      <c r="I28" s="9">
        <f>IF(G28&gt;0, H28/G28, 0)</f>
        <v/>
      </c>
      <c r="J28" s="10" t="inlineStr">
        <is>
          <t>Bếp Lạnh</t>
        </is>
      </c>
      <c r="K28" s="10" t="inlineStr">
        <is>
          <t>Nhà Hàng</t>
        </is>
      </c>
      <c r="L28" s="10" t="inlineStr">
        <is>
          <t>Tạm ngưng</t>
        </is>
      </c>
      <c r="M28" s="6" t="inlineStr">
        <is>
          <t>goi_khoai_mon_hai_san.jpg</t>
        </is>
      </c>
      <c r="N28" s="11" t="inlineStr">
        <is>
          <t>D:\AI\Restaurant\app\static\dishes\goi_khoai_mon_hai_san.jpg</t>
        </is>
      </c>
      <c r="O28" s="11" t="inlineStr">
        <is>
          <t>https://pipogarden.com/static/dishes/goi_khoai_mon_hai_san.jpg</t>
        </is>
      </c>
      <c r="P28" s="6" t="inlineStr">
        <is>
          <t>Khai vị • Đĩa/Phần • Định lượng: Khoai 300g, Mực 60g, Tôm 60g, Sốt 30g</t>
        </is>
      </c>
    </row>
    <row r="29" ht="24" customHeight="1">
      <c r="A29" s="12" t="n">
        <v>162</v>
      </c>
      <c r="B29" s="13" t="inlineStr">
        <is>
          <t>🦐 Hải Sản</t>
        </is>
      </c>
      <c r="C29" s="13" t="inlineStr">
        <is>
          <t>Hàu nướng phô mai / mỡ hành</t>
        </is>
      </c>
      <c r="D29" s="14" t="inlineStr">
        <is>
          <t>Chọn vị chế biến: Nướng phô mai, Nướng mỡ hành</t>
        </is>
      </c>
      <c r="E29" s="14" t="inlineStr">
        <is>
          <t>Con lớn</t>
        </is>
      </c>
      <c r="F29" s="14" t="inlineStr">
        <is>
          <t>Hàu Sữa Tươi Đại Dương: 1.0 con</t>
        </is>
      </c>
      <c r="G29" s="15" t="n">
        <v>25000</v>
      </c>
      <c r="H29" s="16" t="n">
        <v>7000</v>
      </c>
      <c r="I29" s="17">
        <f>IF(G29&gt;0, H29/G29, 0)</f>
        <v/>
      </c>
      <c r="J29" s="18" t="inlineStr">
        <is>
          <t>Bếp Nóng</t>
        </is>
      </c>
      <c r="K29" s="18" t="inlineStr">
        <is>
          <t>Nhà Hàng</t>
        </is>
      </c>
      <c r="L29" s="18" t="inlineStr">
        <is>
          <t>Đang bán</t>
        </is>
      </c>
      <c r="M29" s="14" t="inlineStr">
        <is>
          <t>hau_nuong_pho_mai.jpg</t>
        </is>
      </c>
      <c r="N29" s="19" t="inlineStr">
        <is>
          <t>D:\AI\Restaurant\app\static\dishes\hau_nuong_pho_mai.jpg</t>
        </is>
      </c>
      <c r="O29" s="19" t="inlineStr">
        <is>
          <t>https://pipogarden.com/static/dishes/hau_nuong_pho_mai.jpg</t>
        </is>
      </c>
      <c r="P29" s="14" t="inlineStr">
        <is>
          <t>Hàu sữa đại dương nướng phô mai béo ngậy</t>
        </is>
      </c>
    </row>
    <row r="30" ht="24" customHeight="1">
      <c r="A30" s="4" t="n">
        <v>163</v>
      </c>
      <c r="B30" s="5" t="inlineStr">
        <is>
          <t>🦐 Hải Sản</t>
        </is>
      </c>
      <c r="C30" s="5" t="inlineStr">
        <is>
          <t>Hàu nướng mỡ hành</t>
        </is>
      </c>
      <c r="D30" s="6" t="inlineStr">
        <is>
          <t>Tiêu chuẩn</t>
        </is>
      </c>
      <c r="E30" s="6" t="inlineStr">
        <is>
          <t>Hàu sữa 1 con</t>
        </is>
      </c>
      <c r="F30" s="6" t="inlineStr">
        <is>
          <t>Hàu Sữa Tươi Đại Dương: 1.0 con</t>
        </is>
      </c>
      <c r="G30" s="7" t="n">
        <v>20000</v>
      </c>
      <c r="H30" s="8" t="n">
        <v>7000</v>
      </c>
      <c r="I30" s="9">
        <f>IF(G30&gt;0, H30/G30, 0)</f>
        <v/>
      </c>
      <c r="J30" s="10" t="inlineStr">
        <is>
          <t>Bếp Nóng</t>
        </is>
      </c>
      <c r="K30" s="10" t="inlineStr">
        <is>
          <t>Nhà Hàng</t>
        </is>
      </c>
      <c r="L30" s="10" t="inlineStr">
        <is>
          <t>Đang bán</t>
        </is>
      </c>
      <c r="M30" s="6" t="inlineStr">
        <is>
          <t>hau_nuong_mo_hanh.jpg</t>
        </is>
      </c>
      <c r="N30" s="11" t="inlineStr">
        <is>
          <t>D:\AI\Restaurant\app\static\dishes\hau_nuong_mo_hanh.jpg</t>
        </is>
      </c>
      <c r="O30" s="11" t="inlineStr">
        <is>
          <t>https://pipogarden.com/static/dishes/hau_nuong_mo_hanh.jpg</t>
        </is>
      </c>
      <c r="P30" s="6" t="inlineStr">
        <is>
          <t>Hàu • Con • Định lượng: Hàu tươi 1 con, Mỡ hành</t>
        </is>
      </c>
    </row>
    <row r="31" ht="24" customHeight="1">
      <c r="A31" s="12" t="n">
        <v>164</v>
      </c>
      <c r="B31" s="13" t="inlineStr">
        <is>
          <t>🦐 Hải Sản</t>
        </is>
      </c>
      <c r="C31" s="13" t="inlineStr">
        <is>
          <t>Nghêu</t>
        </is>
      </c>
      <c r="D31" s="14" t="inlineStr">
        <is>
          <t>Chọn vị chế biến: Hấp Thái, Hấp sả, Xào lá quế</t>
        </is>
      </c>
      <c r="E31" s="14" t="inlineStr">
        <is>
          <t>Tô 500g</t>
        </is>
      </c>
      <c r="F31" s="14" t="inlineStr">
        <is>
          <t>Nghêu Lụa Tươi Sống: 0.35 kg</t>
        </is>
      </c>
      <c r="G31" s="15" t="n">
        <v>79000</v>
      </c>
      <c r="H31" s="16" t="n">
        <v>22750</v>
      </c>
      <c r="I31" s="17">
        <f>IF(G31&gt;0, H31/G31, 0)</f>
        <v/>
      </c>
      <c r="J31" s="18" t="inlineStr">
        <is>
          <t>Bếp Nóng</t>
        </is>
      </c>
      <c r="K31" s="18" t="inlineStr">
        <is>
          <t>Nhà Hàng</t>
        </is>
      </c>
      <c r="L31" s="18" t="inlineStr">
        <is>
          <t>Đang bán</t>
        </is>
      </c>
      <c r="M31" s="14" t="inlineStr">
        <is>
          <t>ngheu_hap_sa.jpg</t>
        </is>
      </c>
      <c r="N31" s="19" t="inlineStr">
        <is>
          <t>D:\AI\Restaurant\app\static\dishes\ngheu_hap_sa.jpg</t>
        </is>
      </c>
      <c r="O31" s="19" t="inlineStr">
        <is>
          <t>https://pipogarden.com/static/dishes/ngheu_hap_sa.jpg</t>
        </is>
      </c>
      <c r="P31" s="14" t="inlineStr">
        <is>
          <t>Nghêu lụa hấp sả hoặc hấp Thái ngọt cay thanh mát</t>
        </is>
      </c>
    </row>
    <row r="32" ht="24" customHeight="1">
      <c r="A32" s="4" t="n">
        <v>167</v>
      </c>
      <c r="B32" s="5" t="inlineStr">
        <is>
          <t>🦐 Hải Sản</t>
        </is>
      </c>
      <c r="C32" s="5" t="inlineStr">
        <is>
          <t>Tôm sú</t>
        </is>
      </c>
      <c r="D32" s="6" t="inlineStr">
        <is>
          <t>Chọn vị chế biến: Cháy tỏi, Rang muối HK, Nướng muối ớt, Hấp nước dừa / sả, Sốt bơ tỏi, Chiên xù</t>
        </is>
      </c>
      <c r="E32" s="6" t="inlineStr">
        <is>
          <t>Đĩa 250g (6-8 con)</t>
        </is>
      </c>
      <c r="F32" s="6" t="inlineStr">
        <is>
          <t>Tôm Sú / Tôm Thẻ Tươi Phú Quốc: 0.3 kg</t>
        </is>
      </c>
      <c r="G32" s="7" t="n">
        <v>179000</v>
      </c>
      <c r="H32" s="8" t="n">
        <v>66000</v>
      </c>
      <c r="I32" s="9">
        <f>IF(G32&gt;0, H32/G32, 0)</f>
        <v/>
      </c>
      <c r="J32" s="10" t="inlineStr">
        <is>
          <t>Bếp Nóng</t>
        </is>
      </c>
      <c r="K32" s="10" t="inlineStr">
        <is>
          <t>Nhà Hàng</t>
        </is>
      </c>
      <c r="L32" s="10" t="inlineStr">
        <is>
          <t>Đang bán</t>
        </is>
      </c>
      <c r="M32" s="6" t="inlineStr">
        <is>
          <t>tom_hap.jpg</t>
        </is>
      </c>
      <c r="N32" s="11" t="inlineStr">
        <is>
          <t>D:\AI\Restaurant\app\static\dishes\tom_hap.jpg</t>
        </is>
      </c>
      <c r="O32" s="11" t="inlineStr">
        <is>
          <t>https://pipogarden.com/static/dishes/tom_hap.jpg</t>
        </is>
      </c>
      <c r="P32" s="6" t="inlineStr">
        <is>
          <t>Tôm sú tươi sống Phú Quốc thịt chắc ngọt đậm đà</t>
        </is>
      </c>
    </row>
    <row r="33" ht="24" customHeight="1">
      <c r="A33" s="12" t="n">
        <v>169</v>
      </c>
      <c r="B33" s="13" t="inlineStr">
        <is>
          <t>🦐 Hải Sản</t>
        </is>
      </c>
      <c r="C33" s="13" t="inlineStr">
        <is>
          <t>Ốc hương</t>
        </is>
      </c>
      <c r="D33" s="14" t="inlineStr">
        <is>
          <t>Chọn vị chế biến: Sốt trứng muối (kèm bánh mì), Cháy tỏi, Hấp sả</t>
        </is>
      </c>
      <c r="E33" s="14" t="inlineStr">
        <is>
          <t>Ốc hương 250g</t>
        </is>
      </c>
      <c r="F33" s="14" t="inlineStr">
        <is>
          <t>Ốc Hương Tươi Sống: 0.2 kg; Trứng Muối &amp; Trứng Gà Tươi: 2.0 quả</t>
        </is>
      </c>
      <c r="G33" s="15" t="n">
        <v>150000</v>
      </c>
      <c r="H33" s="16" t="n">
        <v>59000</v>
      </c>
      <c r="I33" s="17">
        <f>IF(G33&gt;0, H33/G33, 0)</f>
        <v/>
      </c>
      <c r="J33" s="18" t="inlineStr">
        <is>
          <t>Bếp Nóng</t>
        </is>
      </c>
      <c r="K33" s="18" t="inlineStr">
        <is>
          <t>Nhà Hàng</t>
        </is>
      </c>
      <c r="L33" s="18" t="inlineStr">
        <is>
          <t>Đang bán</t>
        </is>
      </c>
      <c r="M33" s="14" t="inlineStr">
        <is>
          <t>oc_huong_sot_trung_muoi_banh_mi.jpg</t>
        </is>
      </c>
      <c r="N33" s="19" t="inlineStr">
        <is>
          <t>D:\AI\Restaurant\app\static\dishes\oc_huong_sot_trung_muoi_banh_mi.jpg</t>
        </is>
      </c>
      <c r="O33" s="19" t="inlineStr">
        <is>
          <t>https://pipogarden.com/static/dishes/oc_huong_sot_trung_muoi_banh_mi.jpg</t>
        </is>
      </c>
      <c r="P33" s="14" t="inlineStr">
        <is>
          <t>Ốc hương tươi sống Phú Quốc giòn ngọt đậm đà, tùy chọn xào sốt trứng muối béo ngậy kèm bánh mì, cháy tỏi thơm lừng hoặc hấp sả thanh ngọt.</t>
        </is>
      </c>
    </row>
    <row r="34" ht="24" customHeight="1">
      <c r="A34" s="4" t="n">
        <v>172</v>
      </c>
      <c r="B34" s="5" t="inlineStr">
        <is>
          <t>🦐 Hải Sản</t>
        </is>
      </c>
      <c r="C34" s="5" t="inlineStr">
        <is>
          <t>Ốc móng tay</t>
        </is>
      </c>
      <c r="D34" s="6" t="inlineStr">
        <is>
          <t>Chọn vị chế biến: Cháy tỏi, Nướng mỡ hành, Xào rau muống</t>
        </is>
      </c>
      <c r="E34" s="6" t="inlineStr">
        <is>
          <t>Ốc móng tay 300g</t>
        </is>
      </c>
      <c r="F34" s="6" t="inlineStr">
        <is>
          <t>Ốc Móng Tay Tươi Sống: 0.4 kg</t>
        </is>
      </c>
      <c r="G34" s="7" t="n">
        <v>99000</v>
      </c>
      <c r="H34" s="8" t="n">
        <v>44000</v>
      </c>
      <c r="I34" s="9">
        <f>IF(G34&gt;0, H34/G34, 0)</f>
        <v/>
      </c>
      <c r="J34" s="10" t="inlineStr">
        <is>
          <t>Bếp Nóng</t>
        </is>
      </c>
      <c r="K34" s="10" t="inlineStr">
        <is>
          <t>Nhà Hàng</t>
        </is>
      </c>
      <c r="L34" s="10" t="inlineStr">
        <is>
          <t>Đang bán</t>
        </is>
      </c>
      <c r="M34" s="6" t="inlineStr">
        <is>
          <t>oc_mong_tay_chay_toi.jpg</t>
        </is>
      </c>
      <c r="N34" s="11" t="inlineStr">
        <is>
          <t>D:\AI\Restaurant\app\static\dishes\oc_mong_tay_chay_toi.jpg</t>
        </is>
      </c>
      <c r="O34" s="11" t="inlineStr">
        <is>
          <t>https://pipogarden.com/static/dishes/oc_mong_tay_chay_toi.jpg</t>
        </is>
      </c>
      <c r="P34" s="6" t="inlineStr">
        <is>
          <t>Ốc móng tay tươi dày thịt giòn ngọt, tùy chọn cháy tỏi thơm nức, nướng mỡ hành đậu phộng hoặc xào rau muống giòn ngon.</t>
        </is>
      </c>
    </row>
    <row r="35" ht="24" customHeight="1">
      <c r="A35" s="12" t="n">
        <v>176</v>
      </c>
      <c r="B35" s="13" t="inlineStr">
        <is>
          <t>🦐 Hải Sản</t>
        </is>
      </c>
      <c r="C35" s="13" t="inlineStr">
        <is>
          <t>Bạch tuộc</t>
        </is>
      </c>
      <c r="D35" s="14" t="inlineStr">
        <is>
          <t>Chọn vị chế biến: Nướng muối ớt, Xào cay, Hấp hành gừng</t>
        </is>
      </c>
      <c r="E35" s="14" t="inlineStr">
        <is>
          <t>Bạch tuộc 300g</t>
        </is>
      </c>
      <c r="F35" s="14" t="inlineStr">
        <is>
          <t>Bạch Tuộc Tươi Phú Quốc: 0.4 kg</t>
        </is>
      </c>
      <c r="G35" s="15" t="n">
        <v>150000</v>
      </c>
      <c r="H35" s="16" t="n">
        <v>64000</v>
      </c>
      <c r="I35" s="17">
        <f>IF(G35&gt;0, H35/G35, 0)</f>
        <v/>
      </c>
      <c r="J35" s="18" t="inlineStr">
        <is>
          <t>Bếp Nóng</t>
        </is>
      </c>
      <c r="K35" s="18" t="inlineStr">
        <is>
          <t>Nhà Hàng</t>
        </is>
      </c>
      <c r="L35" s="18" t="inlineStr">
        <is>
          <t>Đang bán</t>
        </is>
      </c>
      <c r="M35" s="14" t="inlineStr">
        <is>
          <t>bach_tuoc_nuong_muoi_ot.jpg</t>
        </is>
      </c>
      <c r="N35" s="19" t="inlineStr">
        <is>
          <t>D:\AI\Restaurant\app\static\dishes\bach_tuoc_nuong_muoi_ot.jpg</t>
        </is>
      </c>
      <c r="O35" s="19" t="inlineStr">
        <is>
          <t>https://pipogarden.com/static/dishes/bach_tuoc_nuong_muoi_ot.jpg</t>
        </is>
      </c>
      <c r="P35" s="14" t="inlineStr">
        <is>
          <t>Bạch tuộc tươi giòn sần sật, tùy chọn nướng muối ớt than hoa cay giòn, xào cay đậm vị hoặc hấp hành gừng thơm lừng.</t>
        </is>
      </c>
    </row>
    <row r="36" ht="24" customHeight="1">
      <c r="A36" s="4" t="n">
        <v>197</v>
      </c>
      <c r="B36" s="5" t="inlineStr">
        <is>
          <t>🦐 Hải Sản</t>
        </is>
      </c>
      <c r="C36" s="5" t="inlineStr">
        <is>
          <t>Cá Mú 2 Món</t>
        </is>
      </c>
      <c r="D36" s="6" t="inlineStr">
        <is>
          <t>Chọn vị chế biến: Hấp Hồng Kông, Nấu lẩu, Chiên xù, nấu cháo, sashimi</t>
        </is>
      </c>
      <c r="E36" s="6" t="inlineStr">
        <is>
          <t>Con 2.0kg</t>
        </is>
      </c>
      <c r="F36" s="6" t="inlineStr">
        <is>
          <t>Nguyên liệu Cá Mú 2 Món: 1.0 con</t>
        </is>
      </c>
      <c r="G36" s="7" t="n">
        <v>800000</v>
      </c>
      <c r="H36" s="8" t="n">
        <v>280000</v>
      </c>
      <c r="I36" s="9">
        <f>IF(G36&gt;0, H36/G36, 0)</f>
        <v/>
      </c>
      <c r="J36" s="10" t="inlineStr">
        <is>
          <t>Bếp Nóng</t>
        </is>
      </c>
      <c r="K36" s="10" t="inlineStr">
        <is>
          <t>Nhà Hàng</t>
        </is>
      </c>
      <c r="L36" s="10" t="inlineStr">
        <is>
          <t>Đang bán</t>
        </is>
      </c>
      <c r="M36" s="6" t="inlineStr">
        <is>
          <t>logo.png</t>
        </is>
      </c>
      <c r="N36" s="11" t="inlineStr">
        <is>
          <t>D:\AI\Restaurant\app\static\logo.png</t>
        </is>
      </c>
      <c r="O36" s="11" t="inlineStr">
        <is>
          <t>https://pipogarden.com/static/logo.png</t>
        </is>
      </c>
      <c r="P36" s="6" t="inlineStr">
        <is>
          <t>Cá mú sống chế biến 2 món hấp Hồng Kông &amp; nấu lẩu</t>
        </is>
      </c>
    </row>
    <row r="37" ht="24" customHeight="1">
      <c r="A37" s="12" t="n">
        <v>198</v>
      </c>
      <c r="B37" s="13" t="inlineStr">
        <is>
          <t>🦐 Hải Sản</t>
        </is>
      </c>
      <c r="C37" s="13" t="inlineStr">
        <is>
          <t>Cá Sòng nướng</t>
        </is>
      </c>
      <c r="D37" s="14" t="inlineStr">
        <is>
          <t>Tiêu chuẩn</t>
        </is>
      </c>
      <c r="E37" s="14" t="inlineStr">
        <is>
          <t>Con 400gram</t>
        </is>
      </c>
      <c r="F37" s="14" t="inlineStr">
        <is>
          <t>Chưa thiết lập BOM</t>
        </is>
      </c>
      <c r="G37" s="15" t="n">
        <v>75000</v>
      </c>
      <c r="H37" s="16" t="n">
        <v>0</v>
      </c>
      <c r="I37" s="17">
        <f>IF(G37&gt;0, H37/G37, 0)</f>
        <v/>
      </c>
      <c r="J37" s="18" t="inlineStr">
        <is>
          <t>Bếp Nóng</t>
        </is>
      </c>
      <c r="K37" s="18" t="inlineStr">
        <is>
          <t>Nhà Hàng</t>
        </is>
      </c>
      <c r="L37" s="18" t="inlineStr">
        <is>
          <t>Đang bán</t>
        </is>
      </c>
      <c r="M37" s="14" t="inlineStr">
        <is>
          <t>casongnuong_06516bf4.webp</t>
        </is>
      </c>
      <c r="N37" s="19" t="inlineStr">
        <is>
          <t>D:\AI\Restaurant\app\static\dishes\casongnuong_06516bf4.webp</t>
        </is>
      </c>
      <c r="O37" s="19" t="inlineStr">
        <is>
          <t>https://pipogarden.com/static/dishes/casongnuong_06516bf4.webp</t>
        </is>
      </c>
      <c r="P37" s="14" t="inlineStr">
        <is>
          <t>Cá sòng 400gram + rau sống</t>
        </is>
      </c>
    </row>
    <row r="38" ht="24" customHeight="1">
      <c r="A38" s="4" t="n">
        <v>309</v>
      </c>
      <c r="B38" s="5" t="inlineStr">
        <is>
          <t>🦐 Hải Sản</t>
        </is>
      </c>
      <c r="C38" s="5" t="inlineStr">
        <is>
          <t>Gỏi cá</t>
        </is>
      </c>
      <c r="D38" s="6" t="inlineStr">
        <is>
          <t>Chọn vị chế biến: Trích, Giỏi</t>
        </is>
      </c>
      <c r="E38" s="6" t="inlineStr">
        <is>
          <t>1 phần</t>
        </is>
      </c>
      <c r="F38" s="6" t="inlineStr">
        <is>
          <t>Chưa thiết lập BOM</t>
        </is>
      </c>
      <c r="G38" s="7" t="n">
        <v>150000</v>
      </c>
      <c r="H38" s="8" t="n">
        <v>0</v>
      </c>
      <c r="I38" s="9">
        <f>IF(G38&gt;0, H38/G38, 0)</f>
        <v/>
      </c>
      <c r="J38" s="10" t="inlineStr">
        <is>
          <t>Bếp Nóng</t>
        </is>
      </c>
      <c r="K38" s="10" t="inlineStr">
        <is>
          <t>Nhà Hàng</t>
        </is>
      </c>
      <c r="L38" s="10" t="inlineStr">
        <is>
          <t>Đang bán</t>
        </is>
      </c>
      <c r="M38" s="6" t="inlineStr">
        <is>
          <t>(Chưa có ảnh)</t>
        </is>
      </c>
      <c r="N38" s="6" t="inlineStr">
        <is>
          <t>(Chưa có ảnh)</t>
        </is>
      </c>
      <c r="O38" s="6" t="inlineStr"/>
      <c r="P38" s="6" t="inlineStr"/>
    </row>
    <row r="39" ht="24" customHeight="1">
      <c r="A39" s="12" t="n">
        <v>310</v>
      </c>
      <c r="B39" s="13" t="inlineStr">
        <is>
          <t>🦐 Hải Sản</t>
        </is>
      </c>
      <c r="C39" s="13" t="inlineStr">
        <is>
          <t>Mực ống</t>
        </is>
      </c>
      <c r="D39" s="14" t="inlineStr">
        <is>
          <t>Chọn vị chế biến: Chiên nước mắm, Nướng muối ớt, Hấp hành gừng, Xào chua ngọt</t>
        </is>
      </c>
      <c r="E39" s="14" t="inlineStr">
        <is>
          <t>Đĩa 300g</t>
        </is>
      </c>
      <c r="F39" s="14" t="inlineStr">
        <is>
          <t>Mực Ống Tươi Phú Quốc: 1.0 kg</t>
        </is>
      </c>
      <c r="G39" s="15" t="n">
        <v>180000</v>
      </c>
      <c r="H39" s="16" t="n">
        <v>180000</v>
      </c>
      <c r="I39" s="17">
        <f>IF(G39&gt;0, H39/G39, 0)</f>
        <v/>
      </c>
      <c r="J39" s="18" t="inlineStr">
        <is>
          <t>Bếp Nóng</t>
        </is>
      </c>
      <c r="K39" s="18" t="inlineStr">
        <is>
          <t>Nhà Hàng</t>
        </is>
      </c>
      <c r="L39" s="18" t="inlineStr">
        <is>
          <t>Đang bán</t>
        </is>
      </c>
      <c r="M39" s="14" t="inlineStr">
        <is>
          <t>logo.png</t>
        </is>
      </c>
      <c r="N39" s="19" t="inlineStr">
        <is>
          <t>D:\AI\Restaurant\app\static\logo.png</t>
        </is>
      </c>
      <c r="O39" s="19" t="inlineStr">
        <is>
          <t>https://pipogarden.com/static/logo.png</t>
        </is>
      </c>
      <c r="P39" s="14" t="inlineStr">
        <is>
          <t>Mực ống tươi giòn ngọt chế biến đa dạng</t>
        </is>
      </c>
    </row>
    <row r="40" ht="24" customHeight="1">
      <c r="A40" s="4" t="n">
        <v>320</v>
      </c>
      <c r="B40" s="5" t="inlineStr">
        <is>
          <t>🦐 Hải Sản</t>
        </is>
      </c>
      <c r="C40" s="5" t="inlineStr">
        <is>
          <t>Ốc Hương</t>
        </is>
      </c>
      <c r="D40" s="6" t="inlineStr">
        <is>
          <t>Chọn vị chế biến: Sốt trứng muối, Rang muối, Cháy tỏi, Hấp sả, Sốt XO</t>
        </is>
      </c>
      <c r="E40" s="6" t="inlineStr">
        <is>
          <t>Đĩa 350g</t>
        </is>
      </c>
      <c r="F40" s="6" t="inlineStr">
        <is>
          <t>Nguyên liệu Ốc Hương: 1.0 đĩa</t>
        </is>
      </c>
      <c r="G40" s="7" t="n">
        <v>150000</v>
      </c>
      <c r="H40" s="8" t="n">
        <v>50000</v>
      </c>
      <c r="I40" s="9">
        <f>IF(G40&gt;0, H40/G40, 0)</f>
        <v/>
      </c>
      <c r="J40" s="10" t="inlineStr">
        <is>
          <t>Bếp Nóng</t>
        </is>
      </c>
      <c r="K40" s="10" t="inlineStr">
        <is>
          <t>Nhà Hàng</t>
        </is>
      </c>
      <c r="L40" s="10" t="inlineStr">
        <is>
          <t>Đang bán</t>
        </is>
      </c>
      <c r="M40" s="6" t="inlineStr">
        <is>
          <t>logo.png</t>
        </is>
      </c>
      <c r="N40" s="11" t="inlineStr">
        <is>
          <t>D:\AI\Restaurant\app\static\logo.png</t>
        </is>
      </c>
      <c r="O40" s="11" t="inlineStr">
        <is>
          <t>https://pipogarden.com/static/logo.png</t>
        </is>
      </c>
      <c r="P40" s="6" t="inlineStr">
        <is>
          <t>Sò huyết tươi xào sốt trứng muối béo ngậy</t>
        </is>
      </c>
    </row>
    <row r="41" ht="24" customHeight="1">
      <c r="A41" s="12" t="n">
        <v>321</v>
      </c>
      <c r="B41" s="13" t="inlineStr">
        <is>
          <t>🦐 Hải Sản</t>
        </is>
      </c>
      <c r="C41" s="13" t="inlineStr">
        <is>
          <t>Cá chim biển</t>
        </is>
      </c>
      <c r="D41" s="14" t="inlineStr">
        <is>
          <t>Chọn vị chế biến: Nướng muối ớt, Hấp Hồng Kông, nấu lẩu</t>
        </is>
      </c>
      <c r="E41" s="14" t="inlineStr">
        <is>
          <t>Con 800g</t>
        </is>
      </c>
      <c r="F41" s="14" t="inlineStr">
        <is>
          <t>Nguyên liệu Cá chim biển: 1.0 con</t>
        </is>
      </c>
      <c r="G41" s="15" t="n">
        <v>250000</v>
      </c>
      <c r="H41" s="16" t="n">
        <v>80000</v>
      </c>
      <c r="I41" s="17">
        <f>IF(G41&gt;0, H41/G41, 0)</f>
        <v/>
      </c>
      <c r="J41" s="18" t="inlineStr">
        <is>
          <t>Bếp Nóng</t>
        </is>
      </c>
      <c r="K41" s="18" t="inlineStr">
        <is>
          <t>Nhà Hàng</t>
        </is>
      </c>
      <c r="L41" s="18" t="inlineStr">
        <is>
          <t>Đang bán</t>
        </is>
      </c>
      <c r="M41" s="14" t="inlineStr">
        <is>
          <t>logo.png</t>
        </is>
      </c>
      <c r="N41" s="19" t="inlineStr">
        <is>
          <t>D:\AI\Restaurant\app\static\logo.png</t>
        </is>
      </c>
      <c r="O41" s="19" t="inlineStr">
        <is>
          <t>https://pipogarden.com/static/logo.png</t>
        </is>
      </c>
      <c r="P41" s="14" t="inlineStr">
        <is>
          <t>Cá chim biển tươi nướng muối ớt thơm giòn</t>
        </is>
      </c>
    </row>
    <row r="42" ht="24" customHeight="1">
      <c r="A42" s="4" t="n">
        <v>180</v>
      </c>
      <c r="B42" s="5" t="inlineStr">
        <is>
          <t>🍚 Cơm - Mì</t>
        </is>
      </c>
      <c r="C42" s="5" t="inlineStr">
        <is>
          <t>Cơm chiên</t>
        </is>
      </c>
      <c r="D42" s="6" t="inlineStr">
        <is>
          <t>Chọn vị chế biến: Hải sản, Bò, Úp trứng</t>
        </is>
      </c>
      <c r="E42" s="6" t="inlineStr">
        <is>
          <t>Đĩa lớn 250g</t>
        </is>
      </c>
      <c r="F42" s="6" t="inlineStr">
        <is>
          <t>Gạo Thơm ST25 (Nấu Cơm): 0.25 kg; Trứng Muối &amp; Trứng Gà Tươi: 1.0 quả; Thịt Ghẹ Tươi Bóc Sẵn Phú Quốc: 0.07 kg</t>
        </is>
      </c>
      <c r="G42" s="7" t="n">
        <v>119000</v>
      </c>
      <c r="H42" s="8" t="n">
        <v>32800</v>
      </c>
      <c r="I42" s="9">
        <f>IF(G42&gt;0, H42/G42, 0)</f>
        <v/>
      </c>
      <c r="J42" s="10" t="inlineStr">
        <is>
          <t>Bếp Nóng</t>
        </is>
      </c>
      <c r="K42" s="10" t="inlineStr">
        <is>
          <t>Nhà Hàng</t>
        </is>
      </c>
      <c r="L42" s="10" t="inlineStr">
        <is>
          <t>Đang bán</t>
        </is>
      </c>
      <c r="M42" s="6" t="inlineStr">
        <is>
          <t>com_chien_ghe.jpg</t>
        </is>
      </c>
      <c r="N42" s="11" t="inlineStr">
        <is>
          <t>D:\AI\Restaurant\app\static\dishes\com_chien_ghe.jpg</t>
        </is>
      </c>
      <c r="O42" s="11" t="inlineStr">
        <is>
          <t>https://pipogarden.com/static/dishes/com_chien_ghe.jpg</t>
        </is>
      </c>
      <c r="P42" s="6" t="inlineStr">
        <is>
          <t>Cơm chiên hạt vàng ươm tơi xốp kèm hải sản/cá mặn</t>
        </is>
      </c>
    </row>
    <row r="43" ht="24" customHeight="1">
      <c r="A43" s="12" t="n">
        <v>181</v>
      </c>
      <c r="B43" s="13" t="inlineStr">
        <is>
          <t>🍚 Cơm - Mì</t>
        </is>
      </c>
      <c r="C43" s="13" t="inlineStr">
        <is>
          <t>Mì xào</t>
        </is>
      </c>
      <c r="D43" s="14" t="inlineStr">
        <is>
          <t>Chọn vị chế biến: Xào hải sản, Xào bò</t>
        </is>
      </c>
      <c r="E43" s="14" t="inlineStr">
        <is>
          <t>Đĩa lớn 2 vắt</t>
        </is>
      </c>
      <c r="F43" s="14" t="inlineStr">
        <is>
          <t>Tôm Sú / Tôm Thẻ Tươi Phú Quốc: 0.05 kg; Mì Vàng Tươi / Mì Trứng: 2.0 vắt; Mực Ống Tươi Phú Quốc: 0.05 kg</t>
        </is>
      </c>
      <c r="G43" s="15" t="n">
        <v>99000</v>
      </c>
      <c r="H43" s="16" t="n">
        <v>30000</v>
      </c>
      <c r="I43" s="17">
        <f>IF(G43&gt;0, H43/G43, 0)</f>
        <v/>
      </c>
      <c r="J43" s="18" t="inlineStr">
        <is>
          <t>Bếp Nóng</t>
        </is>
      </c>
      <c r="K43" s="18" t="inlineStr">
        <is>
          <t>Nhà Hàng</t>
        </is>
      </c>
      <c r="L43" s="18" t="inlineStr">
        <is>
          <t>Đang bán</t>
        </is>
      </c>
      <c r="M43" s="14" t="inlineStr">
        <is>
          <t>mi_xao_hai_san.jpg</t>
        </is>
      </c>
      <c r="N43" s="19" t="inlineStr">
        <is>
          <t>D:\AI\Restaurant\app\static\dishes\mi_xao_hai_san.jpg</t>
        </is>
      </c>
      <c r="O43" s="19" t="inlineStr">
        <is>
          <t>https://pipogarden.com/static/dishes/mi_xao_hai_san.jpg</t>
        </is>
      </c>
      <c r="P43" s="14" t="inlineStr">
        <is>
          <t>Mì trứng xào hải sản hoặc xào bò đậm đà</t>
        </is>
      </c>
    </row>
    <row r="44" ht="24" customHeight="1">
      <c r="A44" s="4" t="n">
        <v>183</v>
      </c>
      <c r="B44" s="5" t="inlineStr">
        <is>
          <t>🍹 Đồ Uống</t>
        </is>
      </c>
      <c r="C44" s="5" t="inlineStr">
        <is>
          <t>Nước suối</t>
        </is>
      </c>
      <c r="D44" s="6" t="inlineStr">
        <is>
          <t>Tiêu chuẩn</t>
        </is>
      </c>
      <c r="E44" s="6" t="inlineStr">
        <is>
          <t>1 chai (500ml)</t>
        </is>
      </c>
      <c r="F44" s="6" t="inlineStr">
        <is>
          <t>Nước Suối Tinh Khiết Chai 500ml: 1.0 chai</t>
        </is>
      </c>
      <c r="G44" s="7" t="n">
        <v>10000</v>
      </c>
      <c r="H44" s="8" t="n">
        <v>4000</v>
      </c>
      <c r="I44" s="9">
        <f>IF(G44&gt;0, H44/G44, 0)</f>
        <v/>
      </c>
      <c r="J44" s="10" t="inlineStr">
        <is>
          <t>Quầy Bar</t>
        </is>
      </c>
      <c r="K44" s="10" t="inlineStr">
        <is>
          <t>Nhà Hàng, Sân Pickleball</t>
        </is>
      </c>
      <c r="L44" s="10" t="inlineStr">
        <is>
          <t>Đang bán</t>
        </is>
      </c>
      <c r="M44" s="6" t="inlineStr">
        <is>
          <t>nuoc_suoi.jpg</t>
        </is>
      </c>
      <c r="N44" s="11" t="inlineStr">
        <is>
          <t>D:\AI\Restaurant\app\static\dishes\nuoc_suoi.jpg</t>
        </is>
      </c>
      <c r="O44" s="11" t="inlineStr">
        <is>
          <t>https://pipogarden.com/static/dishes/nuoc_suoi.jpg</t>
        </is>
      </c>
      <c r="P44" s="6" t="inlineStr">
        <is>
          <t>Đồ uống • Chai • Nước khoáng tinh khiết • Định lượng: Chai 500ml</t>
        </is>
      </c>
    </row>
    <row r="45" ht="24" customHeight="1">
      <c r="A45" s="12" t="n">
        <v>184</v>
      </c>
      <c r="B45" s="13" t="inlineStr">
        <is>
          <t>🍹 Đồ Uống</t>
        </is>
      </c>
      <c r="C45" s="13" t="inlineStr">
        <is>
          <t>Coca Cola</t>
        </is>
      </c>
      <c r="D45" s="14" t="inlineStr">
        <is>
          <t>Tiêu chuẩn</t>
        </is>
      </c>
      <c r="E45" s="14" t="inlineStr">
        <is>
          <t>1 lon (320ml)</t>
        </is>
      </c>
      <c r="F45" s="14" t="inlineStr">
        <is>
          <t>Nước Ngọt Coca Cola Lon 320ml: 1.0 lon</t>
        </is>
      </c>
      <c r="G45" s="15" t="n">
        <v>15000</v>
      </c>
      <c r="H45" s="16" t="n">
        <v>6800</v>
      </c>
      <c r="I45" s="17">
        <f>IF(G45&gt;0, H45/G45, 0)</f>
        <v/>
      </c>
      <c r="J45" s="18" t="inlineStr">
        <is>
          <t>Quầy Bar</t>
        </is>
      </c>
      <c r="K45" s="18" t="inlineStr">
        <is>
          <t>Nhà Hàng, Sân Pickleball</t>
        </is>
      </c>
      <c r="L45" s="18" t="inlineStr">
        <is>
          <t>Đang bán</t>
        </is>
      </c>
      <c r="M45" s="14" t="inlineStr">
        <is>
          <t>coca_cola.jpg</t>
        </is>
      </c>
      <c r="N45" s="19" t="inlineStr">
        <is>
          <t>D:\AI\Restaurant\app\static\dishes\coca_cola.jpg</t>
        </is>
      </c>
      <c r="O45" s="19" t="inlineStr">
        <is>
          <t>https://pipogarden.com/static/dishes/coca_cola.jpg</t>
        </is>
      </c>
      <c r="P45" s="14" t="inlineStr">
        <is>
          <t>Đồ uống • Lon • Nước ngọt có ga • Định lượng: Lon 320ml</t>
        </is>
      </c>
    </row>
    <row r="46" ht="24" customHeight="1">
      <c r="A46" s="4" t="n">
        <v>185</v>
      </c>
      <c r="B46" s="5" t="inlineStr">
        <is>
          <t>🍹 Đồ Uống</t>
        </is>
      </c>
      <c r="C46" s="5" t="inlineStr">
        <is>
          <t>Pepsi</t>
        </is>
      </c>
      <c r="D46" s="6" t="inlineStr">
        <is>
          <t>Tiêu chuẩn</t>
        </is>
      </c>
      <c r="E46" s="6" t="inlineStr">
        <is>
          <t>1 lon (320ml)</t>
        </is>
      </c>
      <c r="F46" s="6" t="inlineStr">
        <is>
          <t>Nước Ngọt Pepsi Lon 320ml: 1.0 lon</t>
        </is>
      </c>
      <c r="G46" s="7" t="n">
        <v>15000</v>
      </c>
      <c r="H46" s="8" t="n">
        <v>6800</v>
      </c>
      <c r="I46" s="9">
        <f>IF(G46&gt;0, H46/G46, 0)</f>
        <v/>
      </c>
      <c r="J46" s="10" t="inlineStr">
        <is>
          <t>Quầy Bar</t>
        </is>
      </c>
      <c r="K46" s="10" t="inlineStr">
        <is>
          <t>Nhà Hàng, Sân Pickleball</t>
        </is>
      </c>
      <c r="L46" s="10" t="inlineStr">
        <is>
          <t>Đang bán</t>
        </is>
      </c>
      <c r="M46" s="6" t="inlineStr">
        <is>
          <t>pepsi.jpg</t>
        </is>
      </c>
      <c r="N46" s="11" t="inlineStr">
        <is>
          <t>D:\AI\Restaurant\app\static\dishes\pepsi.jpg</t>
        </is>
      </c>
      <c r="O46" s="11" t="inlineStr">
        <is>
          <t>https://pipogarden.com/static/dishes/pepsi.jpg</t>
        </is>
      </c>
      <c r="P46" s="6" t="inlineStr">
        <is>
          <t>Đồ uống • Lon • Nước ngọt có ga • Định lượng: Lon 320ml</t>
        </is>
      </c>
    </row>
    <row r="47" ht="24" customHeight="1">
      <c r="A47" s="12" t="n">
        <v>186</v>
      </c>
      <c r="B47" s="13" t="inlineStr">
        <is>
          <t>🍹 Đồ Uống</t>
        </is>
      </c>
      <c r="C47" s="13" t="inlineStr">
        <is>
          <t>Aquarius</t>
        </is>
      </c>
      <c r="D47" s="14" t="inlineStr">
        <is>
          <t>Tiêu chuẩn</t>
        </is>
      </c>
      <c r="E47" s="14" t="inlineStr">
        <is>
          <t>1 chai (390ml)</t>
        </is>
      </c>
      <c r="F47" s="14" t="inlineStr">
        <is>
          <t>Nước Thể Thao Aquarius Lon 320ml: 1.0 lon</t>
        </is>
      </c>
      <c r="G47" s="15" t="n">
        <v>15000</v>
      </c>
      <c r="H47" s="16" t="n">
        <v>6800</v>
      </c>
      <c r="I47" s="17">
        <f>IF(G47&gt;0, H47/G47, 0)</f>
        <v/>
      </c>
      <c r="J47" s="18" t="inlineStr">
        <is>
          <t>Quầy Bar</t>
        </is>
      </c>
      <c r="K47" s="18" t="inlineStr">
        <is>
          <t>Nhà Hàng, Sân Pickleball</t>
        </is>
      </c>
      <c r="L47" s="18" t="inlineStr">
        <is>
          <t>Đang bán</t>
        </is>
      </c>
      <c r="M47" s="14" t="inlineStr">
        <is>
          <t>aquarius.jpg</t>
        </is>
      </c>
      <c r="N47" s="19" t="inlineStr">
        <is>
          <t>D:\AI\Restaurant\app\static\dishes\aquarius.jpg</t>
        </is>
      </c>
      <c r="O47" s="19" t="inlineStr">
        <is>
          <t>https://pipogarden.com/static/dishes/aquarius.jpg</t>
        </is>
      </c>
      <c r="P47" s="14" t="inlineStr">
        <is>
          <t>Đồ uống • Lon • Nước thể thao • Định lượng: Lon 320ml</t>
        </is>
      </c>
    </row>
    <row r="48" ht="24" customHeight="1">
      <c r="A48" s="4" t="n">
        <v>187</v>
      </c>
      <c r="B48" s="5" t="inlineStr">
        <is>
          <t>🍹 Đồ Uống</t>
        </is>
      </c>
      <c r="C48" s="5" t="inlineStr">
        <is>
          <t>Revive</t>
        </is>
      </c>
      <c r="D48" s="6" t="inlineStr">
        <is>
          <t>Tiêu chuẩn</t>
        </is>
      </c>
      <c r="E48" s="6" t="inlineStr">
        <is>
          <t>1 chai (500ml)</t>
        </is>
      </c>
      <c r="F48" s="6" t="inlineStr">
        <is>
          <t>Nước Bù Khoáng Revive Chai 500ml: 1.0 chai</t>
        </is>
      </c>
      <c r="G48" s="7" t="n">
        <v>15000</v>
      </c>
      <c r="H48" s="8" t="n">
        <v>6800</v>
      </c>
      <c r="I48" s="9">
        <f>IF(G48&gt;0, H48/G48, 0)</f>
        <v/>
      </c>
      <c r="J48" s="10" t="inlineStr">
        <is>
          <t>Quầy Bar</t>
        </is>
      </c>
      <c r="K48" s="10" t="inlineStr">
        <is>
          <t>Nhà Hàng, Sân Pickleball</t>
        </is>
      </c>
      <c r="L48" s="10" t="inlineStr">
        <is>
          <t>Đang bán</t>
        </is>
      </c>
      <c r="M48" s="6" t="inlineStr">
        <is>
          <t>revive.jpg</t>
        </is>
      </c>
      <c r="N48" s="11" t="inlineStr">
        <is>
          <t>D:\AI\Restaurant\app\static\dishes\revive.jpg</t>
        </is>
      </c>
      <c r="O48" s="11" t="inlineStr">
        <is>
          <t>https://pipogarden.com/static/dishes/revive.jpg</t>
        </is>
      </c>
      <c r="P48" s="6" t="inlineStr">
        <is>
          <t>Đồ uống • Chai • Nước bù khoáng • Định lượng: Chai 500ml</t>
        </is>
      </c>
    </row>
    <row r="49" ht="24" customHeight="1">
      <c r="A49" s="12" t="n">
        <v>188</v>
      </c>
      <c r="B49" s="13" t="inlineStr">
        <is>
          <t>🍹 Đồ Uống</t>
        </is>
      </c>
      <c r="C49" s="13" t="inlineStr">
        <is>
          <t>Bia Bivina</t>
        </is>
      </c>
      <c r="D49" s="14" t="inlineStr">
        <is>
          <t>Tiêu chuẩn</t>
        </is>
      </c>
      <c r="E49" s="14" t="inlineStr">
        <is>
          <t>1 lon (330ml)</t>
        </is>
      </c>
      <c r="F49" s="14" t="inlineStr">
        <is>
          <t>Bia Bivina Đặc Sản Đảo Lon 330ml: 1.0 lon</t>
        </is>
      </c>
      <c r="G49" s="15" t="n">
        <v>16000</v>
      </c>
      <c r="H49" s="16" t="n">
        <v>8000</v>
      </c>
      <c r="I49" s="17">
        <f>IF(G49&gt;0, H49/G49, 0)</f>
        <v/>
      </c>
      <c r="J49" s="18" t="inlineStr">
        <is>
          <t>Quầy Bar</t>
        </is>
      </c>
      <c r="K49" s="18" t="inlineStr">
        <is>
          <t>Nhà Hàng, Sân Pickleball</t>
        </is>
      </c>
      <c r="L49" s="18" t="inlineStr">
        <is>
          <t>Đang bán</t>
        </is>
      </c>
      <c r="M49" s="14" t="inlineStr">
        <is>
          <t>bia_bivina.jpg</t>
        </is>
      </c>
      <c r="N49" s="19" t="inlineStr">
        <is>
          <t>D:\AI\Restaurant\app\static\dishes\bia_bivina.jpg</t>
        </is>
      </c>
      <c r="O49" s="19" t="inlineStr">
        <is>
          <t>https://pipogarden.com/static/dishes/bia_bivina.jpg</t>
        </is>
      </c>
      <c r="P49" s="14" t="inlineStr">
        <is>
          <t>Đồ uống • Lon • Bia lon • Định lượng: Lon 330ml</t>
        </is>
      </c>
    </row>
    <row r="50" ht="24" customHeight="1">
      <c r="A50" s="4" t="n">
        <v>189</v>
      </c>
      <c r="B50" s="5" t="inlineStr">
        <is>
          <t>🍹 Đồ Uống</t>
        </is>
      </c>
      <c r="C50" s="5" t="inlineStr">
        <is>
          <t>Bia Sài Gòn</t>
        </is>
      </c>
      <c r="D50" s="6" t="inlineStr">
        <is>
          <t>Tiêu chuẩn</t>
        </is>
      </c>
      <c r="E50" s="6" t="inlineStr">
        <is>
          <t>1 lon (330ml)</t>
        </is>
      </c>
      <c r="F50" s="6" t="inlineStr">
        <is>
          <t>Bia Sài Gòn Special/Lager Lon 330ml: 1.0 lon</t>
        </is>
      </c>
      <c r="G50" s="7" t="n">
        <v>22000</v>
      </c>
      <c r="H50" s="8" t="n">
        <v>11000</v>
      </c>
      <c r="I50" s="9">
        <f>IF(G50&gt;0, H50/G50, 0)</f>
        <v/>
      </c>
      <c r="J50" s="10" t="inlineStr">
        <is>
          <t>Quầy Bar</t>
        </is>
      </c>
      <c r="K50" s="10" t="inlineStr">
        <is>
          <t>Nhà Hàng, Sân Pickleball</t>
        </is>
      </c>
      <c r="L50" s="10" t="inlineStr">
        <is>
          <t>Đang bán</t>
        </is>
      </c>
      <c r="M50" s="6" t="inlineStr">
        <is>
          <t>bia_sai_gon.jpg</t>
        </is>
      </c>
      <c r="N50" s="11" t="inlineStr">
        <is>
          <t>D:\AI\Restaurant\app\static\dishes\bia_sai_gon.jpg</t>
        </is>
      </c>
      <c r="O50" s="11" t="inlineStr">
        <is>
          <t>https://pipogarden.com/static/dishes/bia_sai_gon.jpg</t>
        </is>
      </c>
      <c r="P50" s="6" t="inlineStr">
        <is>
          <t>Đồ uống • Lon • Bia lon • Định lượng: chai 330ml</t>
        </is>
      </c>
    </row>
    <row r="51" ht="24" customHeight="1">
      <c r="A51" s="12" t="n">
        <v>190</v>
      </c>
      <c r="B51" s="13" t="inlineStr">
        <is>
          <t>🍹 Đồ Uống</t>
        </is>
      </c>
      <c r="C51" s="13" t="inlineStr">
        <is>
          <t>Bia Heineken</t>
        </is>
      </c>
      <c r="D51" s="14" t="inlineStr">
        <is>
          <t>Tiêu chuẩn</t>
        </is>
      </c>
      <c r="E51" s="14" t="inlineStr">
        <is>
          <t>1 lon (250ml)</t>
        </is>
      </c>
      <c r="F51" s="14" t="inlineStr">
        <is>
          <t>Bia Heineken Sleek Lon 250ml: 1.0 lon</t>
        </is>
      </c>
      <c r="G51" s="15" t="n">
        <v>25000</v>
      </c>
      <c r="H51" s="16" t="n">
        <v>13500</v>
      </c>
      <c r="I51" s="17">
        <f>IF(G51&gt;0, H51/G51, 0)</f>
        <v/>
      </c>
      <c r="J51" s="18" t="inlineStr">
        <is>
          <t>Quầy Bar</t>
        </is>
      </c>
      <c r="K51" s="18" t="inlineStr">
        <is>
          <t>Nhà Hàng, Sân Pickleball</t>
        </is>
      </c>
      <c r="L51" s="18" t="inlineStr">
        <is>
          <t>Đang bán</t>
        </is>
      </c>
      <c r="M51" s="14" t="inlineStr">
        <is>
          <t>bia_heineken.jpg</t>
        </is>
      </c>
      <c r="N51" s="19" t="inlineStr">
        <is>
          <t>D:\AI\Restaurant\app\static\dishes\bia_heineken.jpg</t>
        </is>
      </c>
      <c r="O51" s="19" t="inlineStr">
        <is>
          <t>https://pipogarden.com/static/dishes/bia_heineken.jpg</t>
        </is>
      </c>
      <c r="P51" s="14" t="inlineStr">
        <is>
          <t>Đồ uống • Lon • Bia Heineken Sleek/Mini 250ml • Định lượng: Lon 250ml</t>
        </is>
      </c>
    </row>
    <row r="52" ht="24" customHeight="1">
      <c r="A52" s="4" t="n">
        <v>199</v>
      </c>
      <c r="B52" s="5" t="inlineStr">
        <is>
          <t>🍹 Đồ Uống</t>
        </is>
      </c>
      <c r="C52" s="5" t="inlineStr">
        <is>
          <t>Bia Hơi Hà Nội</t>
        </is>
      </c>
      <c r="D52" s="6" t="inlineStr">
        <is>
          <t>Tiêu chuẩn</t>
        </is>
      </c>
      <c r="E52" s="6" t="inlineStr">
        <is>
          <t>1L</t>
        </is>
      </c>
      <c r="F52" s="6" t="inlineStr">
        <is>
          <t>Chưa thiết lập BOM</t>
        </is>
      </c>
      <c r="G52" s="7" t="n">
        <v>80000</v>
      </c>
      <c r="H52" s="8" t="n">
        <v>0</v>
      </c>
      <c r="I52" s="9">
        <f>IF(G52&gt;0, H52/G52, 0)</f>
        <v/>
      </c>
      <c r="J52" s="10" t="inlineStr">
        <is>
          <t>Quầy Bar</t>
        </is>
      </c>
      <c r="K52" s="10" t="inlineStr">
        <is>
          <t>Nhà Hàng, Sân Pickleball</t>
        </is>
      </c>
      <c r="L52" s="10" t="inlineStr">
        <is>
          <t>Đang bán</t>
        </is>
      </c>
      <c r="M52" s="6" t="inlineStr">
        <is>
          <t>biahoihn1l_c4483f52.webp</t>
        </is>
      </c>
      <c r="N52" s="11" t="inlineStr">
        <is>
          <t>D:\AI\Restaurant\app\static\dishes\biahoihn1l_c4483f52.webp</t>
        </is>
      </c>
      <c r="O52" s="11" t="inlineStr">
        <is>
          <t>https://pipogarden.com/static/dishes/biahoihn1l_c4483f52.webp</t>
        </is>
      </c>
      <c r="P52" s="6" t="inlineStr"/>
    </row>
    <row r="53" ht="24" customHeight="1">
      <c r="A53" s="12" t="n">
        <v>333</v>
      </c>
      <c r="B53" s="13" t="inlineStr">
        <is>
          <t>🔥 Hot BBQ</t>
        </is>
      </c>
      <c r="C53" s="13" t="inlineStr">
        <is>
          <t>Sườn bò</t>
        </is>
      </c>
      <c r="D53" s="14" t="inlineStr">
        <is>
          <t>Chọn vị chế biến: Nướng Sốt BBQ, Nướng sốt mắm nhĩ</t>
        </is>
      </c>
      <c r="E53" s="14" t="inlineStr">
        <is>
          <t>Phần 300g</t>
        </is>
      </c>
      <c r="F53" s="14" t="inlineStr">
        <is>
          <t>Nguyên liệu Sườn bò: 1.0 phần</t>
        </is>
      </c>
      <c r="G53" s="15" t="n">
        <v>220000</v>
      </c>
      <c r="H53" s="16" t="n">
        <v>70000</v>
      </c>
      <c r="I53" s="17">
        <f>IF(G53&gt;0, H53/G53, 0)</f>
        <v/>
      </c>
      <c r="J53" s="18" t="inlineStr">
        <is>
          <t>Bếp Nóng</t>
        </is>
      </c>
      <c r="K53" s="18" t="inlineStr">
        <is>
          <t>Nhà Hàng</t>
        </is>
      </c>
      <c r="L53" s="18" t="inlineStr">
        <is>
          <t>Đang bán</t>
        </is>
      </c>
      <c r="M53" s="14" t="inlineStr">
        <is>
          <t>logo.png</t>
        </is>
      </c>
      <c r="N53" s="19" t="inlineStr">
        <is>
          <t>D:\AI\Restaurant\app\static\logo.png</t>
        </is>
      </c>
      <c r="O53" s="19" t="inlineStr">
        <is>
          <t>https://pipogarden.com/static/logo.png</t>
        </is>
      </c>
      <c r="P53" s="14" t="inlineStr">
        <is>
          <t>Bò nướng tảng than hoa thơm lừng mọng nước</t>
        </is>
      </c>
    </row>
    <row r="54" ht="24" customHeight="1">
      <c r="A54" s="4" t="n">
        <v>334</v>
      </c>
      <c r="B54" s="5" t="inlineStr">
        <is>
          <t>🔥 Hot BBQ</t>
        </is>
      </c>
      <c r="C54" s="5" t="inlineStr">
        <is>
          <t>Gà đen nguyên con</t>
        </is>
      </c>
      <c r="D54" s="6" t="inlineStr">
        <is>
          <t>Chọn vị chế biến: Hấp mắm nhĩ, Chiên mắm, Nướng muối ớt</t>
        </is>
      </c>
      <c r="E54" s="6" t="inlineStr">
        <is>
          <t>Gà 1 con (1.3kg)</t>
        </is>
      </c>
      <c r="F54" s="6" t="inlineStr">
        <is>
          <t>Gà Đen H'Mông Thả Vườn: 1.301 kg</t>
        </is>
      </c>
      <c r="G54" s="7" t="n">
        <v>399000</v>
      </c>
      <c r="H54" s="8" t="n">
        <v>182140</v>
      </c>
      <c r="I54" s="9">
        <f>IF(G54&gt;0, H54/G54, 0)</f>
        <v/>
      </c>
      <c r="J54" s="10" t="inlineStr">
        <is>
          <t>Bếp Nóng</t>
        </is>
      </c>
      <c r="K54" s="10" t="inlineStr">
        <is>
          <t>Nhà Hàng</t>
        </is>
      </c>
      <c r="L54" s="10" t="inlineStr">
        <is>
          <t>Đang bán</t>
        </is>
      </c>
      <c r="M54" s="6" t="inlineStr">
        <is>
          <t>ga_en_nguyen_con.jpg</t>
        </is>
      </c>
      <c r="N54" s="11" t="inlineStr">
        <is>
          <t>D:\AI\Restaurant\app\static\dishes\ga_en_nguyen_con.jpg</t>
        </is>
      </c>
      <c r="O54" s="11" t="inlineStr">
        <is>
          <t>https://pipogarden.com/static/dishes/ga_en_nguyen_con.jpg</t>
        </is>
      </c>
      <c r="P54" s="6" t="inlineStr">
        <is>
          <t>Gà đen thả vườn da giòn thịt ngọt bổ dưỡng</t>
        </is>
      </c>
    </row>
    <row r="55" ht="24" customHeight="1">
      <c r="A55" s="12" t="n">
        <v>335</v>
      </c>
      <c r="B55" s="13" t="inlineStr">
        <is>
          <t>🔥 Hot BBQ</t>
        </is>
      </c>
      <c r="C55" s="13" t="inlineStr">
        <is>
          <t>Gà ta nguyên con</t>
        </is>
      </c>
      <c r="D55" s="14" t="inlineStr">
        <is>
          <t>Chọn vị chế biến: Luộc kèm cháo, Hấp hành, Hấp mắm nhĩ, Chiên mắm, Nấu chanh ớt, Nướng muối ớt</t>
        </is>
      </c>
      <c r="E55" s="14" t="inlineStr">
        <is>
          <t>Gà 1 con (1.3kg) + cháo/lòng mề</t>
        </is>
      </c>
      <c r="F55" s="14" t="inlineStr">
        <is>
          <t>Gà Ta Thả Vườn Làm Sạch: 1.301 kg</t>
        </is>
      </c>
      <c r="G55" s="15" t="n">
        <v>350000</v>
      </c>
      <c r="H55" s="16" t="n">
        <v>106682</v>
      </c>
      <c r="I55" s="17">
        <f>IF(G55&gt;0, H55/G55, 0)</f>
        <v/>
      </c>
      <c r="J55" s="18" t="inlineStr">
        <is>
          <t>Bếp Nóng</t>
        </is>
      </c>
      <c r="K55" s="18" t="inlineStr">
        <is>
          <t>Nhà Hàng</t>
        </is>
      </c>
      <c r="L55" s="18" t="inlineStr">
        <is>
          <t>Đang bán</t>
        </is>
      </c>
      <c r="M55" s="14" t="inlineStr">
        <is>
          <t>ga_nuong_muoi_ot_long_me_xao.jpg</t>
        </is>
      </c>
      <c r="N55" s="19" t="inlineStr">
        <is>
          <t>D:\AI\Restaurant\app\static\dishes\ga_nuong_muoi_ot_long_me_xao.jpg</t>
        </is>
      </c>
      <c r="O55" s="19" t="inlineStr">
        <is>
          <t>https://pipogarden.com/static/dishes/ga_nuong_muoi_ot_long_me_xao.jpg</t>
        </is>
      </c>
      <c r="P55" s="14" t="inlineStr">
        <is>
          <t>Gà ta thả vườn Phú Quốc thịt chắc ngọt thơm ngon</t>
        </is>
      </c>
    </row>
    <row r="56" ht="24" customHeight="1">
      <c r="A56" s="4" t="n">
        <v>336</v>
      </c>
      <c r="B56" s="5" t="inlineStr">
        <is>
          <t>🔥 Hot BBQ</t>
        </is>
      </c>
      <c r="C56" s="5" t="inlineStr">
        <is>
          <t>Cánh gà</t>
        </is>
      </c>
      <c r="D56" s="6" t="inlineStr">
        <is>
          <t>Chọn vị chế biến: Chiên nước mắm, Nướng muối ớt</t>
        </is>
      </c>
      <c r="E56" s="6" t="inlineStr">
        <is>
          <t>Dĩa 3 cái (400g)</t>
        </is>
      </c>
      <c r="F56" s="6" t="inlineStr">
        <is>
          <t>Cánh Gà Tươi Chọn Lọc: 0.4 kg</t>
        </is>
      </c>
      <c r="G56" s="7" t="n">
        <v>99000</v>
      </c>
      <c r="H56" s="8" t="n">
        <v>34000</v>
      </c>
      <c r="I56" s="9">
        <f>IF(G56&gt;0, H56/G56, 0)</f>
        <v/>
      </c>
      <c r="J56" s="10" t="inlineStr">
        <is>
          <t>Bếp Nóng</t>
        </is>
      </c>
      <c r="K56" s="10" t="inlineStr">
        <is>
          <t>Nhà Hàng</t>
        </is>
      </c>
      <c r="L56" s="10" t="inlineStr">
        <is>
          <t>Đang bán</t>
        </is>
      </c>
      <c r="M56" s="6" t="inlineStr">
        <is>
          <t>canh_ga_nuong_muoi_ot.jpg</t>
        </is>
      </c>
      <c r="N56" s="11" t="inlineStr">
        <is>
          <t>D:\AI\Restaurant\app\static\dishes\canh_ga_nuong_muoi_ot.jpg</t>
        </is>
      </c>
      <c r="O56" s="11" t="inlineStr">
        <is>
          <t>https://pipogarden.com/static/dishes/canh_ga_nuong_muoi_ot.jpg</t>
        </is>
      </c>
      <c r="P56" s="6" t="inlineStr">
        <is>
          <t>Cánh gà tươi giòn rụm đậm đà hương vị</t>
        </is>
      </c>
    </row>
    <row r="57" ht="24" customHeight="1">
      <c r="A57" s="12" t="n">
        <v>337</v>
      </c>
      <c r="B57" s="13" t="inlineStr">
        <is>
          <t>🔥 Hot BBQ</t>
        </is>
      </c>
      <c r="C57" s="13" t="inlineStr">
        <is>
          <t>Chân gà</t>
        </is>
      </c>
      <c r="D57" s="14" t="inlineStr">
        <is>
          <t>Chọn vị chế biến: Cháy tỏi, Chiên mắm, Nướng muối ớt</t>
        </is>
      </c>
      <c r="E57" s="14" t="inlineStr">
        <is>
          <t>Dĩa 5 cặp</t>
        </is>
      </c>
      <c r="F57" s="14" t="inlineStr">
        <is>
          <t>Chân Gà Tươi Chọn Lọc: 0.35 kg</t>
        </is>
      </c>
      <c r="G57" s="15" t="n">
        <v>79000</v>
      </c>
      <c r="H57" s="16" t="n">
        <v>28000</v>
      </c>
      <c r="I57" s="17">
        <f>IF(G57&gt;0, H57/G57, 0)</f>
        <v/>
      </c>
      <c r="J57" s="18" t="inlineStr">
        <is>
          <t>Bếp Nóng</t>
        </is>
      </c>
      <c r="K57" s="18" t="inlineStr">
        <is>
          <t>Nhà Hàng</t>
        </is>
      </c>
      <c r="L57" s="18" t="inlineStr">
        <is>
          <t>Đang bán</t>
        </is>
      </c>
      <c r="M57" s="14" t="inlineStr">
        <is>
          <t>chan_ga_nuong.jpg</t>
        </is>
      </c>
      <c r="N57" s="19" t="inlineStr">
        <is>
          <t>D:\AI\Restaurant\app\static\dishes\chan_ga_nuong.jpg</t>
        </is>
      </c>
      <c r="O57" s="19" t="inlineStr">
        <is>
          <t>https://pipogarden.com/static/dishes/chan_ga_nuong.jpg</t>
        </is>
      </c>
      <c r="P57" s="14" t="inlineStr">
        <is>
          <t>Chân gà mạ cháy tỏi, chiên mắm hoặc nướng muối ớt</t>
        </is>
      </c>
    </row>
    <row r="58" ht="24" customHeight="1">
      <c r="A58" s="4" t="n">
        <v>338</v>
      </c>
      <c r="B58" s="5" t="inlineStr">
        <is>
          <t>🔥 Hot BBQ</t>
        </is>
      </c>
      <c r="C58" s="5" t="inlineStr">
        <is>
          <t>Đùi gà</t>
        </is>
      </c>
      <c r="D58" s="6" t="inlineStr">
        <is>
          <t>Chọn vị chế biến: Sốt mật ong, Sốt mắm tỏi, Nướng BBQ</t>
        </is>
      </c>
      <c r="E58" s="6" t="inlineStr">
        <is>
          <t>Đĩa 2 đùi lớn</t>
        </is>
      </c>
      <c r="F58" s="6" t="inlineStr">
        <is>
          <t>Nguyên liệu Đùi gà: 1.0 đĩa</t>
        </is>
      </c>
      <c r="G58" s="7" t="n">
        <v>99000</v>
      </c>
      <c r="H58" s="8" t="n">
        <v>32000</v>
      </c>
      <c r="I58" s="9">
        <f>IF(G58&gt;0, H58/G58, 0)</f>
        <v/>
      </c>
      <c r="J58" s="10" t="inlineStr">
        <is>
          <t>Bếp Nóng</t>
        </is>
      </c>
      <c r="K58" s="10" t="inlineStr">
        <is>
          <t>Nhà Hàng</t>
        </is>
      </c>
      <c r="L58" s="10" t="inlineStr">
        <is>
          <t>Đang bán</t>
        </is>
      </c>
      <c r="M58" s="6" t="inlineStr">
        <is>
          <t>logo.png</t>
        </is>
      </c>
      <c r="N58" s="11" t="inlineStr">
        <is>
          <t>D:\AI\Restaurant\app\static\logo.png</t>
        </is>
      </c>
      <c r="O58" s="11" t="inlineStr">
        <is>
          <t>https://pipogarden.com/static/logo.png</t>
        </is>
      </c>
      <c r="P58" s="6" t="inlineStr">
        <is>
          <t>Đùi gà nướng sốt mật ong thơm ngọt mọng nước</t>
        </is>
      </c>
    </row>
    <row r="59" ht="24" customHeight="1">
      <c r="A59" s="12" t="n">
        <v>339</v>
      </c>
      <c r="B59" s="13" t="inlineStr">
        <is>
          <t>🔥 Hot BBQ</t>
        </is>
      </c>
      <c r="C59" s="13" t="inlineStr">
        <is>
          <t>Sườn heo</t>
        </is>
      </c>
      <c r="D59" s="14" t="inlineStr">
        <is>
          <t>Chọn vị chế biến: Sốt chua ngọt, Nướng muối ớt, BBQ, Chiên mắm</t>
        </is>
      </c>
      <c r="E59" s="14" t="inlineStr">
        <is>
          <t>Dĩa 400g</t>
        </is>
      </c>
      <c r="F59" s="14" t="inlineStr">
        <is>
          <t>Thịt Chân Giò / Ba Chỉ Heo: 0.4 kg</t>
        </is>
      </c>
      <c r="G59" s="15" t="n">
        <v>150000</v>
      </c>
      <c r="H59" s="16" t="n">
        <v>50000</v>
      </c>
      <c r="I59" s="17">
        <f>IF(G59&gt;0, H59/G59, 0)</f>
        <v/>
      </c>
      <c r="J59" s="18" t="inlineStr">
        <is>
          <t>Bếp Nóng</t>
        </is>
      </c>
      <c r="K59" s="18" t="inlineStr">
        <is>
          <t>Nhà Hàng</t>
        </is>
      </c>
      <c r="L59" s="18" t="inlineStr">
        <is>
          <t>Đang bán</t>
        </is>
      </c>
      <c r="M59" s="14" t="inlineStr">
        <is>
          <t>suon_heo_nuong_muoi_ot.jpg</t>
        </is>
      </c>
      <c r="N59" s="19" t="inlineStr">
        <is>
          <t>D:\AI\Restaurant\app\static\dishes\suon_heo_nuong_muoi_ot.jpg</t>
        </is>
      </c>
      <c r="O59" s="19" t="inlineStr">
        <is>
          <t>https://pipogarden.com/static/dishes/suon_heo_nuong_muoi_ot.jpg</t>
        </is>
      </c>
      <c r="P59" s="14" t="inlineStr">
        <is>
          <t>Sườn heo que nướng than hoa đậm đà thơm phức</t>
        </is>
      </c>
    </row>
    <row r="60" ht="24" customHeight="1">
      <c r="A60" s="4" t="n">
        <v>340</v>
      </c>
      <c r="B60" s="5" t="inlineStr">
        <is>
          <t>🔥 Hot BBQ</t>
        </is>
      </c>
      <c r="C60" s="5" t="inlineStr">
        <is>
          <t>Ba chỉ heo</t>
        </is>
      </c>
      <c r="D60" s="6" t="inlineStr">
        <is>
          <t>Chọn vị chế biến: Nướng riềng mẻ, Chiên giòn, Chiên nước mắm, Nướng muối ớt</t>
        </is>
      </c>
      <c r="E60" s="6" t="inlineStr">
        <is>
          <t>Dĩa 350g</t>
        </is>
      </c>
      <c r="F60" s="6" t="inlineStr">
        <is>
          <t>Thịt Chân Giò / Ba Chỉ Heo: 0.35 kg</t>
        </is>
      </c>
      <c r="G60" s="7" t="n">
        <v>150000</v>
      </c>
      <c r="H60" s="8" t="n">
        <v>43750</v>
      </c>
      <c r="I60" s="9">
        <f>IF(G60&gt;0, H60/G60, 0)</f>
        <v/>
      </c>
      <c r="J60" s="10" t="inlineStr">
        <is>
          <t>Bếp Nóng</t>
        </is>
      </c>
      <c r="K60" s="10" t="inlineStr">
        <is>
          <t>Nhà Hàng</t>
        </is>
      </c>
      <c r="L60" s="10" t="inlineStr">
        <is>
          <t>Đang bán</t>
        </is>
      </c>
      <c r="M60" s="6" t="inlineStr">
        <is>
          <t>heo_nuong_gieng_me.jpg</t>
        </is>
      </c>
      <c r="N60" s="11" t="inlineStr">
        <is>
          <t>D:\AI\Restaurant\app\static\dishes\heo_nuong_gieng_me.jpg</t>
        </is>
      </c>
      <c r="O60" s="11" t="inlineStr">
        <is>
          <t>https://pipogarden.com/static/dishes/heo_nuong_gieng_me.jpg</t>
        </is>
      </c>
      <c r="P60" s="6" t="inlineStr">
        <is>
          <t>Ba chỉ heo nướng riềng mẻ hoặc chiên mắm giòn rụm</t>
        </is>
      </c>
    </row>
    <row r="61" ht="24" customHeight="1">
      <c r="A61" s="12" t="n">
        <v>341</v>
      </c>
      <c r="B61" s="13" t="inlineStr">
        <is>
          <t>🔥 Hot BBQ</t>
        </is>
      </c>
      <c r="C61" s="13" t="inlineStr">
        <is>
          <t>Tôm sú</t>
        </is>
      </c>
      <c r="D61" s="14" t="inlineStr">
        <is>
          <t>Chọn vị chế biến: Cháy tỏi, Rang muối HK, Nướng muối ớt, Hấp nước dừa / sả, Sốt bơ tỏi, Chiên xù</t>
        </is>
      </c>
      <c r="E61" s="14" t="inlineStr">
        <is>
          <t>Đĩa 250g (6-8 con)</t>
        </is>
      </c>
      <c r="F61" s="14" t="inlineStr">
        <is>
          <t>Tôm Sú / Tôm Thẻ Tươi Phú Quốc: 0.3 kg</t>
        </is>
      </c>
      <c r="G61" s="15" t="n">
        <v>179000</v>
      </c>
      <c r="H61" s="16" t="n">
        <v>66000</v>
      </c>
      <c r="I61" s="17">
        <f>IF(G61&gt;0, H61/G61, 0)</f>
        <v/>
      </c>
      <c r="J61" s="18" t="inlineStr">
        <is>
          <t>Bếp Nóng</t>
        </is>
      </c>
      <c r="K61" s="18" t="inlineStr">
        <is>
          <t>Nhà Hàng</t>
        </is>
      </c>
      <c r="L61" s="18" t="inlineStr">
        <is>
          <t>Đang bán</t>
        </is>
      </c>
      <c r="M61" s="14" t="inlineStr">
        <is>
          <t>tom_hap.jpg</t>
        </is>
      </c>
      <c r="N61" s="19" t="inlineStr">
        <is>
          <t>D:\AI\Restaurant\app\static\dishes\tom_hap.jpg</t>
        </is>
      </c>
      <c r="O61" s="19" t="inlineStr">
        <is>
          <t>https://pipogarden.com/static/dishes/tom_hap.jpg</t>
        </is>
      </c>
      <c r="P61" s="14" t="inlineStr">
        <is>
          <t>Tôm sú tươi sống Phú Quốc thịt chắc ngọt đậm đà</t>
        </is>
      </c>
    </row>
    <row r="62" ht="24" customHeight="1">
      <c r="A62" s="4" t="n">
        <v>342</v>
      </c>
      <c r="B62" s="5" t="inlineStr">
        <is>
          <t>🔥 Hot BBQ</t>
        </is>
      </c>
      <c r="C62" s="5" t="inlineStr">
        <is>
          <t>Mực ống</t>
        </is>
      </c>
      <c r="D62" s="6" t="inlineStr">
        <is>
          <t>Chọn vị chế biến: Chiên nước mắm, Nướng muối ớt, Hấp hành gừng, Xào chua ngọt</t>
        </is>
      </c>
      <c r="E62" s="6" t="inlineStr">
        <is>
          <t>Đĩa 300g</t>
        </is>
      </c>
      <c r="F62" s="6" t="inlineStr">
        <is>
          <t>Mực Ống Tươi Phú Quốc: 1.0 kg</t>
        </is>
      </c>
      <c r="G62" s="7" t="n">
        <v>180000</v>
      </c>
      <c r="H62" s="8" t="n">
        <v>180000</v>
      </c>
      <c r="I62" s="9">
        <f>IF(G62&gt;0, H62/G62, 0)</f>
        <v/>
      </c>
      <c r="J62" s="10" t="inlineStr">
        <is>
          <t>Bếp Nóng</t>
        </is>
      </c>
      <c r="K62" s="10" t="inlineStr">
        <is>
          <t>Nhà Hàng</t>
        </is>
      </c>
      <c r="L62" s="10" t="inlineStr">
        <is>
          <t>Đang bán</t>
        </is>
      </c>
      <c r="M62" s="6" t="inlineStr">
        <is>
          <t>logo.png</t>
        </is>
      </c>
      <c r="N62" s="11" t="inlineStr">
        <is>
          <t>D:\AI\Restaurant\app\static\logo.png</t>
        </is>
      </c>
      <c r="O62" s="11" t="inlineStr">
        <is>
          <t>https://pipogarden.com/static/logo.png</t>
        </is>
      </c>
      <c r="P62" s="6" t="inlineStr">
        <is>
          <t>Mực ống tươi giòn ngọt chế biến đa dạng</t>
        </is>
      </c>
    </row>
    <row r="63" ht="24" customHeight="1">
      <c r="A63" s="12" t="n">
        <v>343</v>
      </c>
      <c r="B63" s="13" t="inlineStr">
        <is>
          <t>🔥 Hot BBQ</t>
        </is>
      </c>
      <c r="C63" s="13" t="inlineStr">
        <is>
          <t>Cá chim biển</t>
        </is>
      </c>
      <c r="D63" s="14" t="inlineStr">
        <is>
          <t>Chọn vị chế biến: Nướng muối ớt, Hấp Hồng Kông, nấu lẩu</t>
        </is>
      </c>
      <c r="E63" s="14" t="inlineStr">
        <is>
          <t>Con 800g</t>
        </is>
      </c>
      <c r="F63" s="14" t="inlineStr">
        <is>
          <t>Nguyên liệu Cá chim biển: 1.0 con</t>
        </is>
      </c>
      <c r="G63" s="15" t="n">
        <v>250000</v>
      </c>
      <c r="H63" s="16" t="n">
        <v>80000</v>
      </c>
      <c r="I63" s="17">
        <f>IF(G63&gt;0, H63/G63, 0)</f>
        <v/>
      </c>
      <c r="J63" s="18" t="inlineStr">
        <is>
          <t>Bếp Nóng</t>
        </is>
      </c>
      <c r="K63" s="18" t="inlineStr">
        <is>
          <t>Nhà Hàng</t>
        </is>
      </c>
      <c r="L63" s="18" t="inlineStr">
        <is>
          <t>Đang bán</t>
        </is>
      </c>
      <c r="M63" s="14" t="inlineStr">
        <is>
          <t>logo.png</t>
        </is>
      </c>
      <c r="N63" s="19" t="inlineStr">
        <is>
          <t>D:\AI\Restaurant\app\static\logo.png</t>
        </is>
      </c>
      <c r="O63" s="19" t="inlineStr">
        <is>
          <t>https://pipogarden.com/static/logo.png</t>
        </is>
      </c>
      <c r="P63" s="14" t="inlineStr">
        <is>
          <t>Cá chim biển tươi nướng muối ớt thơm giòn</t>
        </is>
      </c>
    </row>
    <row r="64" ht="24" customHeight="1">
      <c r="A64" s="4" t="n">
        <v>344</v>
      </c>
      <c r="B64" s="5" t="inlineStr">
        <is>
          <t>🔥 Hot BBQ</t>
        </is>
      </c>
      <c r="C64" s="5" t="inlineStr">
        <is>
          <t>Hàu nướng phô mai / mỡ hành</t>
        </is>
      </c>
      <c r="D64" s="6" t="inlineStr">
        <is>
          <t>Chọn vị chế biến: Nướng phô mai, Nướng mỡ hành</t>
        </is>
      </c>
      <c r="E64" s="6" t="inlineStr">
        <is>
          <t>Con lớn</t>
        </is>
      </c>
      <c r="F64" s="6" t="inlineStr">
        <is>
          <t>Hàu Sữa Tươi Đại Dương: 1.0 con</t>
        </is>
      </c>
      <c r="G64" s="7" t="n">
        <v>25000</v>
      </c>
      <c r="H64" s="8" t="n">
        <v>7000</v>
      </c>
      <c r="I64" s="9">
        <f>IF(G64&gt;0, H64/G64, 0)</f>
        <v/>
      </c>
      <c r="J64" s="10" t="inlineStr">
        <is>
          <t>Bếp Nóng</t>
        </is>
      </c>
      <c r="K64" s="10" t="inlineStr">
        <is>
          <t>Nhà Hàng</t>
        </is>
      </c>
      <c r="L64" s="10" t="inlineStr">
        <is>
          <t>Đang bán</t>
        </is>
      </c>
      <c r="M64" s="6" t="inlineStr">
        <is>
          <t>hau_nuong_pho_mai.jpg</t>
        </is>
      </c>
      <c r="N64" s="11" t="inlineStr">
        <is>
          <t>D:\AI\Restaurant\app\static\dishes\hau_nuong_pho_mai.jpg</t>
        </is>
      </c>
      <c r="O64" s="11" t="inlineStr">
        <is>
          <t>https://pipogarden.com/static/dishes/hau_nuong_pho_mai.jpg</t>
        </is>
      </c>
      <c r="P64" s="6" t="inlineStr">
        <is>
          <t>Hàu sữa đại dương nướng phô mai béo ngậy</t>
        </is>
      </c>
    </row>
    <row r="65" ht="24" customHeight="1">
      <c r="A65" s="12" t="n">
        <v>301</v>
      </c>
      <c r="B65" s="13" t="inlineStr">
        <is>
          <t>🎾 Dịch Vụ Sân Pickleball</t>
        </is>
      </c>
      <c r="C65" s="13" t="inlineStr">
        <is>
          <t>Vé Social Chiều (16h-22h kèm nước)</t>
        </is>
      </c>
      <c r="D65" s="14" t="inlineStr">
        <is>
          <t>Tiêu chuẩn</t>
        </is>
      </c>
      <c r="E65" s="14" t="inlineStr">
        <is>
          <t>1 lượt chơi + 1 nước</t>
        </is>
      </c>
      <c r="F65" s="14" t="inlineStr">
        <is>
          <t>Chưa thiết lập BOM</t>
        </is>
      </c>
      <c r="G65" s="15" t="n">
        <v>60000</v>
      </c>
      <c r="H65" s="16" t="n">
        <v>0</v>
      </c>
      <c r="I65" s="17">
        <f>IF(G65&gt;0, H65/G65, 0)</f>
        <v/>
      </c>
      <c r="J65" s="18" t="inlineStr">
        <is>
          <t>Quầy Bar</t>
        </is>
      </c>
      <c r="K65" s="18" t="inlineStr">
        <is>
          <t>Sân Pickleball</t>
        </is>
      </c>
      <c r="L65" s="18" t="inlineStr">
        <is>
          <t>Đang bán</t>
        </is>
      </c>
      <c r="M65" s="14" t="inlineStr">
        <is>
          <t>logo.png</t>
        </is>
      </c>
      <c r="N65" s="19" t="inlineStr">
        <is>
          <t>D:\AI\Restaurant\app\static\logo.png</t>
        </is>
      </c>
      <c r="O65" s="19" t="inlineStr">
        <is>
          <t>https://pipogarden.com/static/logo.png</t>
        </is>
      </c>
      <c r="P65" s="14" t="inlineStr">
        <is>
          <t>Suất chơi Pickleball Social khung giờ vàng (16h - 22h). Đã bao gồm 01 chai nước uống giải khát mát lạnh.</t>
        </is>
      </c>
    </row>
    <row r="66" ht="24" customHeight="1">
      <c r="A66" s="4" t="n">
        <v>302</v>
      </c>
      <c r="B66" s="5" t="inlineStr">
        <is>
          <t>🎾 Dịch Vụ Sân Pickleball</t>
        </is>
      </c>
      <c r="C66" s="5" t="inlineStr">
        <is>
          <t>Vé Social Sáng (06h-16h)</t>
        </is>
      </c>
      <c r="D66" s="6" t="inlineStr">
        <is>
          <t>Tiêu chuẩn</t>
        </is>
      </c>
      <c r="E66" s="6" t="inlineStr">
        <is>
          <t>1 lượt chơi sáng</t>
        </is>
      </c>
      <c r="F66" s="6" t="inlineStr">
        <is>
          <t>Chưa thiết lập BOM</t>
        </is>
      </c>
      <c r="G66" s="7" t="n">
        <v>30000</v>
      </c>
      <c r="H66" s="8" t="n">
        <v>0</v>
      </c>
      <c r="I66" s="9">
        <f>IF(G66&gt;0, H66/G66, 0)</f>
        <v/>
      </c>
      <c r="J66" s="10" t="inlineStr">
        <is>
          <t>Quầy Bar</t>
        </is>
      </c>
      <c r="K66" s="10" t="inlineStr">
        <is>
          <t>Sân Pickleball</t>
        </is>
      </c>
      <c r="L66" s="10" t="inlineStr">
        <is>
          <t>Đang bán</t>
        </is>
      </c>
      <c r="M66" s="6" t="inlineStr">
        <is>
          <t>logo.png</t>
        </is>
      </c>
      <c r="N66" s="11" t="inlineStr">
        <is>
          <t>D:\AI\Restaurant\app\static\logo.png</t>
        </is>
      </c>
      <c r="O66" s="11" t="inlineStr">
        <is>
          <t>https://pipogarden.com/static/logo.png</t>
        </is>
      </c>
      <c r="P66" s="6" t="inlineStr">
        <is>
          <t>Suất chơi Pickleball Social khung giờ sáng và trưa (06h - 16h). Thể thao năng động đầu ngày.</t>
        </is>
      </c>
    </row>
    <row r="67" ht="24" customHeight="1">
      <c r="A67" s="12" t="n">
        <v>303</v>
      </c>
      <c r="B67" s="13" t="inlineStr">
        <is>
          <t>🎾 Dịch Vụ Sân Pickleball</t>
        </is>
      </c>
      <c r="C67" s="13" t="inlineStr">
        <is>
          <t>Thuê Vợt Pickleball</t>
        </is>
      </c>
      <c r="D67" s="14" t="inlineStr">
        <is>
          <t>Tiêu chuẩn</t>
        </is>
      </c>
      <c r="E67" s="14" t="inlineStr">
        <is>
          <t>1 cây / lượt</t>
        </is>
      </c>
      <c r="F67" s="14" t="inlineStr">
        <is>
          <t>Chưa thiết lập BOM</t>
        </is>
      </c>
      <c r="G67" s="15" t="n">
        <v>50000</v>
      </c>
      <c r="H67" s="16" t="n">
        <v>0</v>
      </c>
      <c r="I67" s="17">
        <f>IF(G67&gt;0, H67/G67, 0)</f>
        <v/>
      </c>
      <c r="J67" s="18" t="inlineStr">
        <is>
          <t>Quầy Bar</t>
        </is>
      </c>
      <c r="K67" s="18" t="inlineStr">
        <is>
          <t>Sân Pickleball</t>
        </is>
      </c>
      <c r="L67" s="18" t="inlineStr">
        <is>
          <t>Đang bán</t>
        </is>
      </c>
      <c r="M67" s="14" t="inlineStr">
        <is>
          <t>logo.png</t>
        </is>
      </c>
      <c r="N67" s="19" t="inlineStr">
        <is>
          <t>D:\AI\Restaurant\app\static\logo.png</t>
        </is>
      </c>
      <c r="O67" s="19" t="inlineStr">
        <is>
          <t>https://pipogarden.com/static/logo.png</t>
        </is>
      </c>
      <c r="P67" s="14" t="inlineStr">
        <is>
          <t>Thuê vợt carbon thi đấu cao cấp siêu nhẹ, êm tay, tặng kèm bóng tập trong suốt buổi chơi.</t>
        </is>
      </c>
    </row>
    <row r="68" ht="24" customHeight="1">
      <c r="A68" s="4" t="n">
        <v>304</v>
      </c>
      <c r="B68" s="5" t="inlineStr">
        <is>
          <t>🎾 Dịch Vụ Sân Pickleball</t>
        </is>
      </c>
      <c r="C68" s="5" t="inlineStr">
        <is>
          <t>Thuê Sân Theo Giờ (200k/giờ, tặng 2 nước)</t>
        </is>
      </c>
      <c r="D68" s="6" t="inlineStr">
        <is>
          <t>Tiêu chuẩn</t>
        </is>
      </c>
      <c r="E68" s="6" t="inlineStr">
        <is>
          <t>1 giờ / sân (kèm 2 nước)</t>
        </is>
      </c>
      <c r="F68" s="6" t="inlineStr">
        <is>
          <t>Chưa thiết lập BOM</t>
        </is>
      </c>
      <c r="G68" s="7" t="n">
        <v>200000</v>
      </c>
      <c r="H68" s="8" t="n">
        <v>0</v>
      </c>
      <c r="I68" s="9">
        <f>IF(G68&gt;0, H68/G68, 0)</f>
        <v/>
      </c>
      <c r="J68" s="10" t="inlineStr">
        <is>
          <t>Quầy Bar</t>
        </is>
      </c>
      <c r="K68" s="10" t="inlineStr">
        <is>
          <t>Sân Pickleball</t>
        </is>
      </c>
      <c r="L68" s="10" t="inlineStr">
        <is>
          <t>Đang bán</t>
        </is>
      </c>
      <c r="M68" s="6" t="inlineStr">
        <is>
          <t>logo.png</t>
        </is>
      </c>
      <c r="N68" s="11" t="inlineStr">
        <is>
          <t>D:\AI\Restaurant\app\static\logo.png</t>
        </is>
      </c>
      <c r="O68" s="11" t="inlineStr">
        <is>
          <t>https://pipogarden.com/static/logo.png</t>
        </is>
      </c>
      <c r="P68" s="6" t="inlineStr">
        <is>
          <t>Bao trọn 01 sân thi đấu tiêu chuẩn có mái che thoáng mát, tặng kèm 02 chai nước suối giải khát.</t>
        </is>
      </c>
    </row>
    <row r="69" ht="24" customHeight="1">
      <c r="A69" s="12" t="n">
        <v>305</v>
      </c>
      <c r="B69" s="13" t="inlineStr">
        <is>
          <t>🎾 Dịch Vụ Sân Pickleball</t>
        </is>
      </c>
      <c r="C69" s="13" t="inlineStr">
        <is>
          <t>Gói Social Tháng (Mọi Khung Giờ)</t>
        </is>
      </c>
      <c r="D69" s="14" t="inlineStr">
        <is>
          <t>Tiêu chuẩn</t>
        </is>
      </c>
      <c r="E69" s="14" t="inlineStr">
        <is>
          <t>30 ngày không giới hạn giờ</t>
        </is>
      </c>
      <c r="F69" s="14" t="inlineStr">
        <is>
          <t>Chưa thiết lập BOM</t>
        </is>
      </c>
      <c r="G69" s="15" t="n">
        <v>1200000</v>
      </c>
      <c r="H69" s="16" t="n">
        <v>0</v>
      </c>
      <c r="I69" s="17">
        <f>IF(G69&gt;0, H69/G69, 0)</f>
        <v/>
      </c>
      <c r="J69" s="18" t="inlineStr">
        <is>
          <t>Quầy Bar</t>
        </is>
      </c>
      <c r="K69" s="18" t="inlineStr">
        <is>
          <t>Sân Pickleball</t>
        </is>
      </c>
      <c r="L69" s="18" t="inlineStr">
        <is>
          <t>Đang bán</t>
        </is>
      </c>
      <c r="M69" s="14" t="inlineStr">
        <is>
          <t>logo.png</t>
        </is>
      </c>
      <c r="N69" s="19" t="inlineStr">
        <is>
          <t>D:\AI\Restaurant\app\static\logo.png</t>
        </is>
      </c>
      <c r="O69" s="19" t="inlineStr">
        <is>
          <t>https://pipogarden.com/static/logo.png</t>
        </is>
      </c>
      <c r="P69" s="14" t="inlineStr">
        <is>
          <t>Thẻ hội viên Social tháng không giới hạn khung giờ, chơi thỏa thích bất kỳ lúc nào trong ngày (06h - 22h).</t>
        </is>
      </c>
    </row>
    <row r="70" ht="24" customHeight="1">
      <c r="A70" s="4" t="n">
        <v>306</v>
      </c>
      <c r="B70" s="5" t="inlineStr">
        <is>
          <t>🎾 Dịch Vụ Sân Pickleball</t>
        </is>
      </c>
      <c r="C70" s="5" t="inlineStr">
        <is>
          <t>Gói Social Tháng (Chỉ Buổi Sáng)</t>
        </is>
      </c>
      <c r="D70" s="6" t="inlineStr">
        <is>
          <t>Tiêu chuẩn</t>
        </is>
      </c>
      <c r="E70" s="6" t="inlineStr">
        <is>
          <t>30 ngày (06h - 16h)</t>
        </is>
      </c>
      <c r="F70" s="6" t="inlineStr">
        <is>
          <t>Chưa thiết lập BOM</t>
        </is>
      </c>
      <c r="G70" s="7" t="n">
        <v>600000</v>
      </c>
      <c r="H70" s="8" t="n">
        <v>0</v>
      </c>
      <c r="I70" s="9">
        <f>IF(G70&gt;0, H70/G70, 0)</f>
        <v/>
      </c>
      <c r="J70" s="10" t="inlineStr">
        <is>
          <t>Quầy Bar</t>
        </is>
      </c>
      <c r="K70" s="10" t="inlineStr">
        <is>
          <t>Sân Pickleball</t>
        </is>
      </c>
      <c r="L70" s="10" t="inlineStr">
        <is>
          <t>Đang bán</t>
        </is>
      </c>
      <c r="M70" s="6" t="inlineStr">
        <is>
          <t>logo.png</t>
        </is>
      </c>
      <c r="N70" s="11" t="inlineStr">
        <is>
          <t>D:\AI\Restaurant\app\static\logo.png</t>
        </is>
      </c>
      <c r="O70" s="11" t="inlineStr">
        <is>
          <t>https://pipogarden.com/static/logo.png</t>
        </is>
      </c>
      <c r="P70" s="6" t="inlineStr">
        <is>
          <t>Thẻ hội viên Social tháng khung giờ sáng (06h - 16h) dành cho người yêu thích rèn luyện thể lực đầu ngày.</t>
        </is>
      </c>
    </row>
    <row r="71" ht="24" customHeight="1">
      <c r="A71" s="12" t="n">
        <v>307</v>
      </c>
      <c r="B71" s="13" t="inlineStr">
        <is>
          <t>🎾 Dịch Vụ Sân Pickleball</t>
        </is>
      </c>
      <c r="C71" s="13" t="inlineStr">
        <is>
          <t>Gói Social Năm (Cá Nhân)</t>
        </is>
      </c>
      <c r="D71" s="14" t="inlineStr">
        <is>
          <t>Tiêu chuẩn</t>
        </is>
      </c>
      <c r="E71" s="14" t="inlineStr">
        <is>
          <t>365 ngày cá nhân</t>
        </is>
      </c>
      <c r="F71" s="14" t="inlineStr">
        <is>
          <t>Chưa thiết lập BOM</t>
        </is>
      </c>
      <c r="G71" s="15" t="n">
        <v>5000000</v>
      </c>
      <c r="H71" s="16" t="n">
        <v>0</v>
      </c>
      <c r="I71" s="17">
        <f>IF(G71&gt;0, H71/G71, 0)</f>
        <v/>
      </c>
      <c r="J71" s="18" t="inlineStr">
        <is>
          <t>Quầy Bar</t>
        </is>
      </c>
      <c r="K71" s="18" t="inlineStr">
        <is>
          <t>Sân Pickleball</t>
        </is>
      </c>
      <c r="L71" s="18" t="inlineStr">
        <is>
          <t>Đang bán</t>
        </is>
      </c>
      <c r="M71" s="14" t="inlineStr">
        <is>
          <t>logo.png</t>
        </is>
      </c>
      <c r="N71" s="19" t="inlineStr">
        <is>
          <t>D:\AI\Restaurant\app\static\logo.png</t>
        </is>
      </c>
      <c r="O71" s="19" t="inlineStr">
        <is>
          <t>https://pipogarden.com/static/logo.png</t>
        </is>
      </c>
      <c r="P71" s="14" t="inlineStr">
        <is>
          <t>Thẻ hội viên VIP cá nhân 1 năm (365 ngày). Chơi không giới hạn giờ, ưu tiên xếp sân và quyền lợi CLB.</t>
        </is>
      </c>
    </row>
    <row r="72" ht="24" customHeight="1">
      <c r="A72" s="4" t="n">
        <v>308</v>
      </c>
      <c r="B72" s="5" t="inlineStr">
        <is>
          <t>🎾 Dịch Vụ Sân Pickleball</t>
        </is>
      </c>
      <c r="C72" s="5" t="inlineStr">
        <is>
          <t>Đặt Sân Cố Định Tháng (Đàm Phán)</t>
        </is>
      </c>
      <c r="D72" s="6" t="inlineStr">
        <is>
          <t>Tiêu chuẩn</t>
        </is>
      </c>
      <c r="E72" s="6" t="inlineStr">
        <is>
          <t>Theo giá thỏa thuận</t>
        </is>
      </c>
      <c r="F72" s="6" t="inlineStr">
        <is>
          <t>Chưa thiết lập BOM</t>
        </is>
      </c>
      <c r="G72" s="7" t="n">
        <v>0</v>
      </c>
      <c r="H72" s="8" t="n">
        <v>0</v>
      </c>
      <c r="I72" s="9">
        <f>IF(G72&gt;0, H72/G72, 0)</f>
        <v/>
      </c>
      <c r="J72" s="10" t="inlineStr">
        <is>
          <t>Quầy Bar</t>
        </is>
      </c>
      <c r="K72" s="10" t="inlineStr">
        <is>
          <t>Sân Pickleball</t>
        </is>
      </c>
      <c r="L72" s="10" t="inlineStr">
        <is>
          <t>Đang bán</t>
        </is>
      </c>
      <c r="M72" s="6" t="inlineStr">
        <is>
          <t>logo.png</t>
        </is>
      </c>
      <c r="N72" s="11" t="inlineStr">
        <is>
          <t>D:\AI\Restaurant\app\static\logo.png</t>
        </is>
      </c>
      <c r="O72" s="11" t="inlineStr">
        <is>
          <t>https://pipogarden.com/static/logo.png</t>
        </is>
      </c>
      <c r="P72" s="6" t="inlineStr">
        <is>
          <t>Đặt cố định sân và khung giờ theo tháng (ví dụ 18h-20h T2-T4-T6). Giá thỏa thuận linh hoạt.</t>
        </is>
      </c>
    </row>
    <row r="73" ht="24" customHeight="1">
      <c r="A73" s="12" t="n">
        <v>318</v>
      </c>
      <c r="B73" s="13" t="inlineStr">
        <is>
          <t>⭐ Best Seller</t>
        </is>
      </c>
      <c r="C73" s="13" t="inlineStr">
        <is>
          <t>Heo Massage</t>
        </is>
      </c>
      <c r="D73" s="14" t="inlineStr">
        <is>
          <t>Tiêu chuẩn</t>
        </is>
      </c>
      <c r="E73" s="14" t="inlineStr">
        <is>
          <t>Đĩa 300g</t>
        </is>
      </c>
      <c r="F73" s="14" t="inlineStr">
        <is>
          <t>Nguyên liệu Heo Massage: 1.0 đĩa</t>
        </is>
      </c>
      <c r="G73" s="15" t="n">
        <v>279000</v>
      </c>
      <c r="H73" s="16" t="n">
        <v>130000</v>
      </c>
      <c r="I73" s="17">
        <f>IF(G73&gt;0, H73/G73, 0)</f>
        <v/>
      </c>
      <c r="J73" s="18" t="inlineStr">
        <is>
          <t>Bếp Nóng</t>
        </is>
      </c>
      <c r="K73" s="18" t="inlineStr">
        <is>
          <t>Nhà Hàng</t>
        </is>
      </c>
      <c r="L73" s="18" t="inlineStr">
        <is>
          <t>Đang bán</t>
        </is>
      </c>
      <c r="M73" s="14" t="inlineStr">
        <is>
          <t>logo.png</t>
        </is>
      </c>
      <c r="N73" s="19" t="inlineStr">
        <is>
          <t>D:\AI\Restaurant\app\static\logo.png</t>
        </is>
      </c>
      <c r="O73" s="19" t="inlineStr">
        <is>
          <t>https://pipogarden.com/static/logo.png</t>
        </is>
      </c>
      <c r="P73" s="14" t="inlineStr">
        <is>
          <t>Thịt heo tẩm ướp đặc biệt nướng thơm giòn</t>
        </is>
      </c>
    </row>
    <row r="74" ht="24" customHeight="1">
      <c r="A74" s="4" t="n">
        <v>328</v>
      </c>
      <c r="B74" s="5" t="inlineStr">
        <is>
          <t>⭐ Best Seller</t>
        </is>
      </c>
      <c r="C74" s="5" t="inlineStr">
        <is>
          <t>Tôm khô rang muối hạt</t>
        </is>
      </c>
      <c r="D74" s="6" t="inlineStr">
        <is>
          <t>Tiêu chuẩn</t>
        </is>
      </c>
      <c r="E74" s="6" t="inlineStr">
        <is>
          <t>Dĩa 100g</t>
        </is>
      </c>
      <c r="F74" s="6" t="inlineStr">
        <is>
          <t>Nguyên liệu Tôm khô rang muối hạt: 1.0 dĩa</t>
        </is>
      </c>
      <c r="G74" s="7" t="n">
        <v>150000</v>
      </c>
      <c r="H74" s="8" t="n">
        <v>55000</v>
      </c>
      <c r="I74" s="9">
        <f>IF(G74&gt;0, H74/G74, 0)</f>
        <v/>
      </c>
      <c r="J74" s="10" t="inlineStr">
        <is>
          <t>Bếp Nóng</t>
        </is>
      </c>
      <c r="K74" s="10" t="inlineStr">
        <is>
          <t>Nhà Hàng</t>
        </is>
      </c>
      <c r="L74" s="10" t="inlineStr">
        <is>
          <t>Đang bán</t>
        </is>
      </c>
      <c r="M74" s="6" t="inlineStr">
        <is>
          <t>logo.png</t>
        </is>
      </c>
      <c r="N74" s="11" t="inlineStr">
        <is>
          <t>D:\AI\Restaurant\app\static\logo.png</t>
        </is>
      </c>
      <c r="O74" s="11" t="inlineStr">
        <is>
          <t>https://pipogarden.com/static/logo.png</t>
        </is>
      </c>
      <c r="P74" s="6" t="inlineStr"/>
    </row>
    <row r="75" ht="24" customHeight="1">
      <c r="A75" s="12" t="n">
        <v>329</v>
      </c>
      <c r="B75" s="13" t="inlineStr">
        <is>
          <t>⭐ Best Seller</t>
        </is>
      </c>
      <c r="C75" s="13" t="inlineStr">
        <is>
          <t>Khô Mực Núp Lùm</t>
        </is>
      </c>
      <c r="D75" s="14" t="inlineStr">
        <is>
          <t>Tiêu chuẩn</t>
        </is>
      </c>
      <c r="E75" s="14" t="inlineStr">
        <is>
          <t>Dĩa 100g</t>
        </is>
      </c>
      <c r="F75" s="14" t="inlineStr">
        <is>
          <t>Nguyên liệu Khô Mực Núp Lùm: 1.0 dĩa</t>
        </is>
      </c>
      <c r="G75" s="15" t="n">
        <v>150000</v>
      </c>
      <c r="H75" s="16" t="n">
        <v>50000</v>
      </c>
      <c r="I75" s="17">
        <f>IF(G75&gt;0, H75/G75, 0)</f>
        <v/>
      </c>
      <c r="J75" s="18" t="inlineStr">
        <is>
          <t>Bếp Nóng</t>
        </is>
      </c>
      <c r="K75" s="18" t="inlineStr">
        <is>
          <t>Nhà Hàng</t>
        </is>
      </c>
      <c r="L75" s="18" t="inlineStr">
        <is>
          <t>Đang bán</t>
        </is>
      </c>
      <c r="M75" s="14" t="inlineStr">
        <is>
          <t>logo.png</t>
        </is>
      </c>
      <c r="N75" s="19" t="inlineStr">
        <is>
          <t>D:\AI\Restaurant\app\static\logo.png</t>
        </is>
      </c>
      <c r="O75" s="19" t="inlineStr">
        <is>
          <t>https://pipogarden.com/static/logo.png</t>
        </is>
      </c>
      <c r="P75" s="14" t="inlineStr"/>
    </row>
    <row r="76" ht="24" customHeight="1">
      <c r="A76" s="4" t="n">
        <v>330</v>
      </c>
      <c r="B76" s="5" t="inlineStr">
        <is>
          <t>⭐ Best Seller</t>
        </is>
      </c>
      <c r="C76" s="5" t="inlineStr">
        <is>
          <t>Chả giò hải sản</t>
        </is>
      </c>
      <c r="D76" s="6" t="inlineStr">
        <is>
          <t>Tiêu chuẩn</t>
        </is>
      </c>
      <c r="E76" s="6" t="inlineStr">
        <is>
          <t>Dĩa 4 cuộn</t>
        </is>
      </c>
      <c r="F76" s="6" t="inlineStr">
        <is>
          <t>Nguyên liệu Lẩu Thái Hải Sản: 1.0 phần</t>
        </is>
      </c>
      <c r="G76" s="7" t="n">
        <v>99000</v>
      </c>
      <c r="H76" s="8" t="n">
        <v>90000</v>
      </c>
      <c r="I76" s="9">
        <f>IF(G76&gt;0, H76/G76, 0)</f>
        <v/>
      </c>
      <c r="J76" s="10" t="inlineStr">
        <is>
          <t>Bếp Nóng</t>
        </is>
      </c>
      <c r="K76" s="10" t="inlineStr">
        <is>
          <t>Nhà Hàng</t>
        </is>
      </c>
      <c r="L76" s="10" t="inlineStr">
        <is>
          <t>Đang bán</t>
        </is>
      </c>
      <c r="M76" s="6" t="inlineStr">
        <is>
          <t>logo.png</t>
        </is>
      </c>
      <c r="N76" s="11" t="inlineStr">
        <is>
          <t>D:\AI\Restaurant\app\static\logo.png</t>
        </is>
      </c>
      <c r="O76" s="11" t="inlineStr">
        <is>
          <t>https://pipogarden.com/static/logo.png</t>
        </is>
      </c>
      <c r="P76" s="6" t="inlineStr"/>
    </row>
    <row r="77" ht="24" customHeight="1">
      <c r="A77" s="12" t="n">
        <v>331</v>
      </c>
      <c r="B77" s="13" t="inlineStr">
        <is>
          <t>⭐ Best Seller</t>
        </is>
      </c>
      <c r="C77" s="13" t="inlineStr">
        <is>
          <t>Miến xào hải sản X.O</t>
        </is>
      </c>
      <c r="D77" s="14" t="inlineStr">
        <is>
          <t>Tiêu chuẩn</t>
        </is>
      </c>
      <c r="E77" s="14" t="inlineStr">
        <is>
          <t>Dĩa 80g miến khô, hải sản</t>
        </is>
      </c>
      <c r="F77" s="14" t="inlineStr">
        <is>
          <t>Nguyên liệu Lẩu Thái Hải Sản: 1.0 phần</t>
        </is>
      </c>
      <c r="G77" s="15" t="n">
        <v>150000</v>
      </c>
      <c r="H77" s="16" t="n">
        <v>90000</v>
      </c>
      <c r="I77" s="17">
        <f>IF(G77&gt;0, H77/G77, 0)</f>
        <v/>
      </c>
      <c r="J77" s="18" t="inlineStr">
        <is>
          <t>Bếp Nóng</t>
        </is>
      </c>
      <c r="K77" s="18" t="inlineStr">
        <is>
          <t>Nhà Hàng</t>
        </is>
      </c>
      <c r="L77" s="18" t="inlineStr">
        <is>
          <t>Đang bán</t>
        </is>
      </c>
      <c r="M77" s="14" t="inlineStr">
        <is>
          <t>logo.png</t>
        </is>
      </c>
      <c r="N77" s="19" t="inlineStr">
        <is>
          <t>D:\AI\Restaurant\app\static\logo.png</t>
        </is>
      </c>
      <c r="O77" s="19" t="inlineStr">
        <is>
          <t>https://pipogarden.com/static/logo.png</t>
        </is>
      </c>
      <c r="P77" s="14" t="inlineStr"/>
    </row>
    <row r="78" ht="24" customHeight="1">
      <c r="A78" s="4" t="n">
        <v>332</v>
      </c>
      <c r="B78" s="5" t="inlineStr">
        <is>
          <t>⭐ Best Seller</t>
        </is>
      </c>
      <c r="C78" s="5" t="inlineStr">
        <is>
          <t>Cơm Chiên Tôm X.O</t>
        </is>
      </c>
      <c r="D78" s="6" t="inlineStr">
        <is>
          <t>Tiêu chuẩn</t>
        </is>
      </c>
      <c r="E78" s="6" t="inlineStr">
        <is>
          <t>Dĩa 150 cơm, tôm tươi</t>
        </is>
      </c>
      <c r="F78" s="6" t="inlineStr">
        <is>
          <t>Nguyên liệu Cơm Chiên Tôm X.O: 1.0 dĩa</t>
        </is>
      </c>
      <c r="G78" s="7" t="n">
        <v>150000</v>
      </c>
      <c r="H78" s="8" t="n">
        <v>55000</v>
      </c>
      <c r="I78" s="9">
        <f>IF(G78&gt;0, H78/G78, 0)</f>
        <v/>
      </c>
      <c r="J78" s="10" t="inlineStr">
        <is>
          <t>Bếp Nóng</t>
        </is>
      </c>
      <c r="K78" s="10" t="inlineStr">
        <is>
          <t>Nhà Hàng</t>
        </is>
      </c>
      <c r="L78" s="10" t="inlineStr">
        <is>
          <t>Đang bán</t>
        </is>
      </c>
      <c r="M78" s="6" t="inlineStr">
        <is>
          <t>logo.png</t>
        </is>
      </c>
      <c r="N78" s="11" t="inlineStr">
        <is>
          <t>D:\AI\Restaurant\app\static\logo.png</t>
        </is>
      </c>
      <c r="O78" s="11" t="inlineStr">
        <is>
          <t>https://pipogarden.com/static/logo.png</t>
        </is>
      </c>
      <c r="P78" s="6" t="inlineStr"/>
    </row>
    <row r="79" ht="24" customHeight="1">
      <c r="A79" s="12" t="n">
        <v>322</v>
      </c>
      <c r="B79" s="13" t="inlineStr">
        <is>
          <t>🍲 Súp - Cháo</t>
        </is>
      </c>
      <c r="C79" s="13" t="inlineStr">
        <is>
          <t>Súp</t>
        </is>
      </c>
      <c r="D79" s="14" t="inlineStr">
        <is>
          <t>Chọn vị chế biến: Súp hải sản, Súp bào ngư</t>
        </is>
      </c>
      <c r="E79" s="14" t="inlineStr">
        <is>
          <t>Tô vừa</t>
        </is>
      </c>
      <c r="F79" s="14" t="inlineStr">
        <is>
          <t>Nguyên liệu Súp: 1.0 phần</t>
        </is>
      </c>
      <c r="G79" s="15" t="n">
        <v>89000</v>
      </c>
      <c r="H79" s="16" t="n">
        <v>25000</v>
      </c>
      <c r="I79" s="17">
        <f>IF(G79&gt;0, H79/G79, 0)</f>
        <v/>
      </c>
      <c r="J79" s="18" t="inlineStr">
        <is>
          <t>Bếp Nóng</t>
        </is>
      </c>
      <c r="K79" s="18" t="inlineStr">
        <is>
          <t>Nhà Hàng</t>
        </is>
      </c>
      <c r="L79" s="18" t="inlineStr">
        <is>
          <t>Đang bán</t>
        </is>
      </c>
      <c r="M79" s="14" t="inlineStr">
        <is>
          <t>logo.png</t>
        </is>
      </c>
      <c r="N79" s="19" t="inlineStr">
        <is>
          <t>D:\AI\Restaurant\app\static\logo.png</t>
        </is>
      </c>
      <c r="O79" s="19" t="inlineStr">
        <is>
          <t>https://pipogarden.com/static/logo.png</t>
        </is>
      </c>
      <c r="P79" s="14" t="inlineStr">
        <is>
          <t>Súp hải sản thanh ngọt thơm ngon</t>
        </is>
      </c>
    </row>
    <row r="80" ht="24" customHeight="1">
      <c r="A80" s="4" t="n">
        <v>323</v>
      </c>
      <c r="B80" s="5" t="inlineStr">
        <is>
          <t>🍲 Súp - Cháo</t>
        </is>
      </c>
      <c r="C80" s="5" t="inlineStr">
        <is>
          <t>Cháo</t>
        </is>
      </c>
      <c r="D80" s="6" t="inlineStr">
        <is>
          <t>Chọn vị chế biến: Cháo hải sản, Cháo bò băm, Cháo bào ngư</t>
        </is>
      </c>
      <c r="E80" s="6" t="inlineStr">
        <is>
          <t>Tô lớn</t>
        </is>
      </c>
      <c r="F80" s="6" t="inlineStr">
        <is>
          <t>Gạo Thơm ST25 (Nấu Cơm): 1.0 kg</t>
        </is>
      </c>
      <c r="G80" s="7" t="n">
        <v>89000</v>
      </c>
      <c r="H80" s="8" t="n">
        <v>32000</v>
      </c>
      <c r="I80" s="9">
        <f>IF(G80&gt;0, H80/G80, 0)</f>
        <v/>
      </c>
      <c r="J80" s="10" t="inlineStr">
        <is>
          <t>Bếp Nóng</t>
        </is>
      </c>
      <c r="K80" s="10" t="inlineStr">
        <is>
          <t>Nhà Hàng</t>
        </is>
      </c>
      <c r="L80" s="10" t="inlineStr">
        <is>
          <t>Đang bán</t>
        </is>
      </c>
      <c r="M80" s="6" t="inlineStr">
        <is>
          <t>logo.png</t>
        </is>
      </c>
      <c r="N80" s="11" t="inlineStr">
        <is>
          <t>D:\AI\Restaurant\app\static\logo.png</t>
        </is>
      </c>
      <c r="O80" s="11" t="inlineStr">
        <is>
          <t>https://pipogarden.com/static/logo.png</t>
        </is>
      </c>
      <c r="P80" s="6" t="inlineStr">
        <is>
          <t>Cháo nóng hổi nấu sánh mịn thơm ngon</t>
        </is>
      </c>
    </row>
    <row r="81" ht="24" customHeight="1">
      <c r="A81" s="12" t="n">
        <v>324</v>
      </c>
      <c r="B81" s="13" t="inlineStr">
        <is>
          <t>🍲 Súp - Cháo</t>
        </is>
      </c>
      <c r="C81" s="13" t="inlineStr">
        <is>
          <t>Súp Cua TomYum</t>
        </is>
      </c>
      <c r="D81" s="14" t="inlineStr">
        <is>
          <t>Tiêu chuẩn</t>
        </is>
      </c>
      <c r="E81" s="14" t="inlineStr">
        <is>
          <t>Tô lớn</t>
        </is>
      </c>
      <c r="F81" s="14" t="inlineStr">
        <is>
          <t>Nguyên liệu Súp Cua TomYum: 1.0 phần</t>
        </is>
      </c>
      <c r="G81" s="15" t="n">
        <v>129000</v>
      </c>
      <c r="H81" s="16" t="n">
        <v>40000</v>
      </c>
      <c r="I81" s="17">
        <f>IF(G81&gt;0, H81/G81, 0)</f>
        <v/>
      </c>
      <c r="J81" s="18" t="inlineStr">
        <is>
          <t>Bếp Nóng</t>
        </is>
      </c>
      <c r="K81" s="18" t="inlineStr">
        <is>
          <t>Nhà Hàng</t>
        </is>
      </c>
      <c r="L81" s="18" t="inlineStr">
        <is>
          <t>Đang bán</t>
        </is>
      </c>
      <c r="M81" s="14" t="inlineStr">
        <is>
          <t>logo.png</t>
        </is>
      </c>
      <c r="N81" s="19" t="inlineStr">
        <is>
          <t>D:\AI\Restaurant\app\static\logo.png</t>
        </is>
      </c>
      <c r="O81" s="19" t="inlineStr">
        <is>
          <t>https://pipogarden.com/static/logo.png</t>
        </is>
      </c>
      <c r="P81" s="14" t="inlineStr">
        <is>
          <t>Súp TomYum cua cay nồng chuẩn vị Thái</t>
        </is>
      </c>
    </row>
    <row r="82" ht="24" customHeight="1">
      <c r="A82" s="4" t="n">
        <v>325</v>
      </c>
      <c r="B82" s="5" t="inlineStr">
        <is>
          <t>🥘 Món Lẩu</t>
        </is>
      </c>
      <c r="C82" s="5" t="inlineStr">
        <is>
          <t>Lẩu Thái Hải Sản</t>
        </is>
      </c>
      <c r="D82" s="6" t="inlineStr">
        <is>
          <t>Tiêu chuẩn</t>
        </is>
      </c>
      <c r="E82" s="6" t="inlineStr">
        <is>
          <t>Nồi lẩu (3-4 người)</t>
        </is>
      </c>
      <c r="F82" s="6" t="inlineStr">
        <is>
          <t>Nguyên liệu Lẩu Thái Hải Sản: 1.0 phần</t>
        </is>
      </c>
      <c r="G82" s="7" t="n">
        <v>299000</v>
      </c>
      <c r="H82" s="8" t="n">
        <v>90000</v>
      </c>
      <c r="I82" s="9">
        <f>IF(G82&gt;0, H82/G82, 0)</f>
        <v/>
      </c>
      <c r="J82" s="10" t="inlineStr">
        <is>
          <t>Bếp Nóng</t>
        </is>
      </c>
      <c r="K82" s="10" t="inlineStr">
        <is>
          <t>Nhà Hàng</t>
        </is>
      </c>
      <c r="L82" s="10" t="inlineStr">
        <is>
          <t>Đang bán</t>
        </is>
      </c>
      <c r="M82" s="6" t="inlineStr">
        <is>
          <t>logo.png</t>
        </is>
      </c>
      <c r="N82" s="11" t="inlineStr">
        <is>
          <t>D:\AI\Restaurant\app\static\logo.png</t>
        </is>
      </c>
      <c r="O82" s="11" t="inlineStr">
        <is>
          <t>https://pipogarden.com/static/logo.png</t>
        </is>
      </c>
      <c r="P82" s="6" t="inlineStr">
        <is>
          <t>Lẩu Thái hải sản chua cay thơm đậm đà</t>
        </is>
      </c>
    </row>
    <row r="83" ht="24" customHeight="1">
      <c r="A83" s="12" t="n">
        <v>326</v>
      </c>
      <c r="B83" s="13" t="inlineStr">
        <is>
          <t>🥘 Món Lẩu</t>
        </is>
      </c>
      <c r="C83" s="13" t="inlineStr">
        <is>
          <t>Lẩu Gà Chanh Ớt</t>
        </is>
      </c>
      <c r="D83" s="14" t="inlineStr">
        <is>
          <t>Tiêu chuẩn</t>
        </is>
      </c>
      <c r="E83" s="14" t="inlineStr">
        <is>
          <t>Nồi lẩu</t>
        </is>
      </c>
      <c r="F83" s="14" t="inlineStr">
        <is>
          <t>Gà Ta Thả Vườn Làm Sạch: 1.0 kg</t>
        </is>
      </c>
      <c r="G83" s="15" t="n">
        <v>299000</v>
      </c>
      <c r="H83" s="16" t="n">
        <v>82000</v>
      </c>
      <c r="I83" s="17">
        <f>IF(G83&gt;0, H83/G83, 0)</f>
        <v/>
      </c>
      <c r="J83" s="18" t="inlineStr">
        <is>
          <t>Bếp Nóng</t>
        </is>
      </c>
      <c r="K83" s="18" t="inlineStr">
        <is>
          <t>Nhà Hàng</t>
        </is>
      </c>
      <c r="L83" s="18" t="inlineStr">
        <is>
          <t>Đang bán</t>
        </is>
      </c>
      <c r="M83" s="14" t="inlineStr">
        <is>
          <t>logo.png</t>
        </is>
      </c>
      <c r="N83" s="19" t="inlineStr">
        <is>
          <t>D:\AI\Restaurant\app\static\logo.png</t>
        </is>
      </c>
      <c r="O83" s="19" t="inlineStr">
        <is>
          <t>https://pipogarden.com/static/logo.png</t>
        </is>
      </c>
      <c r="P83" s="14" t="inlineStr">
        <is>
          <t>Lẩu gà chanh ớt xiêm xanh cay thơm nức</t>
        </is>
      </c>
    </row>
    <row r="84" ht="24" customHeight="1">
      <c r="A84" s="4" t="n">
        <v>327</v>
      </c>
      <c r="B84" s="5" t="inlineStr">
        <is>
          <t>🥘 Món Lẩu</t>
        </is>
      </c>
      <c r="C84" s="5" t="inlineStr">
        <is>
          <t>Lẩu Cá Chim / Cá Mú</t>
        </is>
      </c>
      <c r="D84" s="6" t="inlineStr">
        <is>
          <t>Chọn vị chế biến: Nấu ngọt, Nấu Thái</t>
        </is>
      </c>
      <c r="E84" s="6" t="inlineStr">
        <is>
          <t>Nồi lẩu 1 con</t>
        </is>
      </c>
      <c r="F84" s="6" t="inlineStr">
        <is>
          <t>Nguyên liệu Lẩu Cá Chim / Cá Mú: 1.0 con</t>
        </is>
      </c>
      <c r="G84" s="7" t="n">
        <v>299000</v>
      </c>
      <c r="H84" s="8" t="n">
        <v>95000</v>
      </c>
      <c r="I84" s="9">
        <f>IF(G84&gt;0, H84/G84, 0)</f>
        <v/>
      </c>
      <c r="J84" s="10" t="inlineStr">
        <is>
          <t>Bếp Nóng</t>
        </is>
      </c>
      <c r="K84" s="10" t="inlineStr">
        <is>
          <t>Nhà Hàng</t>
        </is>
      </c>
      <c r="L84" s="10" t="inlineStr">
        <is>
          <t>Đang bán</t>
        </is>
      </c>
      <c r="M84" s="6" t="inlineStr">
        <is>
          <t>logo.png</t>
        </is>
      </c>
      <c r="N84" s="11" t="inlineStr">
        <is>
          <t>D:\AI\Restaurant\app\static\logo.png</t>
        </is>
      </c>
      <c r="O84" s="11" t="inlineStr">
        <is>
          <t>https://pipogarden.com/static/logo.png</t>
        </is>
      </c>
      <c r="P84" s="6" t="inlineStr">
        <is>
          <t>Lẩu cá tươi nấu ngọt thanh hoặc nấu Thái chua cay</t>
        </is>
      </c>
    </row>
  </sheetData>
  <autoFilter ref="A3:P84"/>
  <mergeCells count="2">
    <mergeCell ref="A1:P1"/>
    <mergeCell ref="A2:P2"/>
  </mergeCells>
  <hyperlinks>
    <hyperlink xmlns:r="http://schemas.openxmlformats.org/officeDocument/2006/relationships" ref="N4" r:id="rId1"/>
    <hyperlink xmlns:r="http://schemas.openxmlformats.org/officeDocument/2006/relationships" ref="O4" r:id="rId2"/>
    <hyperlink xmlns:r="http://schemas.openxmlformats.org/officeDocument/2006/relationships" ref="N5" r:id="rId3"/>
    <hyperlink xmlns:r="http://schemas.openxmlformats.org/officeDocument/2006/relationships" ref="O5" r:id="rId4"/>
    <hyperlink xmlns:r="http://schemas.openxmlformats.org/officeDocument/2006/relationships" ref="N6" r:id="rId5"/>
    <hyperlink xmlns:r="http://schemas.openxmlformats.org/officeDocument/2006/relationships" ref="O6" r:id="rId6"/>
    <hyperlink xmlns:r="http://schemas.openxmlformats.org/officeDocument/2006/relationships" ref="N7" r:id="rId7"/>
    <hyperlink xmlns:r="http://schemas.openxmlformats.org/officeDocument/2006/relationships" ref="O7" r:id="rId8"/>
    <hyperlink xmlns:r="http://schemas.openxmlformats.org/officeDocument/2006/relationships" ref="N8" r:id="rId9"/>
    <hyperlink xmlns:r="http://schemas.openxmlformats.org/officeDocument/2006/relationships" ref="O8" r:id="rId10"/>
    <hyperlink xmlns:r="http://schemas.openxmlformats.org/officeDocument/2006/relationships" ref="N9" r:id="rId11"/>
    <hyperlink xmlns:r="http://schemas.openxmlformats.org/officeDocument/2006/relationships" ref="O9" r:id="rId12"/>
    <hyperlink xmlns:r="http://schemas.openxmlformats.org/officeDocument/2006/relationships" ref="N12" r:id="rId13"/>
    <hyperlink xmlns:r="http://schemas.openxmlformats.org/officeDocument/2006/relationships" ref="O12" r:id="rId14"/>
    <hyperlink xmlns:r="http://schemas.openxmlformats.org/officeDocument/2006/relationships" ref="N13" r:id="rId15"/>
    <hyperlink xmlns:r="http://schemas.openxmlformats.org/officeDocument/2006/relationships" ref="O13" r:id="rId16"/>
    <hyperlink xmlns:r="http://schemas.openxmlformats.org/officeDocument/2006/relationships" ref="N14" r:id="rId17"/>
    <hyperlink xmlns:r="http://schemas.openxmlformats.org/officeDocument/2006/relationships" ref="O14" r:id="rId18"/>
    <hyperlink xmlns:r="http://schemas.openxmlformats.org/officeDocument/2006/relationships" ref="N15" r:id="rId19"/>
    <hyperlink xmlns:r="http://schemas.openxmlformats.org/officeDocument/2006/relationships" ref="O15" r:id="rId20"/>
    <hyperlink xmlns:r="http://schemas.openxmlformats.org/officeDocument/2006/relationships" ref="N16" r:id="rId21"/>
    <hyperlink xmlns:r="http://schemas.openxmlformats.org/officeDocument/2006/relationships" ref="O16" r:id="rId22"/>
    <hyperlink xmlns:r="http://schemas.openxmlformats.org/officeDocument/2006/relationships" ref="N17" r:id="rId23"/>
    <hyperlink xmlns:r="http://schemas.openxmlformats.org/officeDocument/2006/relationships" ref="O17" r:id="rId24"/>
    <hyperlink xmlns:r="http://schemas.openxmlformats.org/officeDocument/2006/relationships" ref="N18" r:id="rId25"/>
    <hyperlink xmlns:r="http://schemas.openxmlformats.org/officeDocument/2006/relationships" ref="O18" r:id="rId26"/>
    <hyperlink xmlns:r="http://schemas.openxmlformats.org/officeDocument/2006/relationships" ref="N19" r:id="rId27"/>
    <hyperlink xmlns:r="http://schemas.openxmlformats.org/officeDocument/2006/relationships" ref="O19" r:id="rId28"/>
    <hyperlink xmlns:r="http://schemas.openxmlformats.org/officeDocument/2006/relationships" ref="N20" r:id="rId29"/>
    <hyperlink xmlns:r="http://schemas.openxmlformats.org/officeDocument/2006/relationships" ref="O20" r:id="rId30"/>
    <hyperlink xmlns:r="http://schemas.openxmlformats.org/officeDocument/2006/relationships" ref="N21" r:id="rId31"/>
    <hyperlink xmlns:r="http://schemas.openxmlformats.org/officeDocument/2006/relationships" ref="O21" r:id="rId32"/>
    <hyperlink xmlns:r="http://schemas.openxmlformats.org/officeDocument/2006/relationships" ref="N22" r:id="rId33"/>
    <hyperlink xmlns:r="http://schemas.openxmlformats.org/officeDocument/2006/relationships" ref="O22" r:id="rId34"/>
    <hyperlink xmlns:r="http://schemas.openxmlformats.org/officeDocument/2006/relationships" ref="N23" r:id="rId35"/>
    <hyperlink xmlns:r="http://schemas.openxmlformats.org/officeDocument/2006/relationships" ref="O23" r:id="rId36"/>
    <hyperlink xmlns:r="http://schemas.openxmlformats.org/officeDocument/2006/relationships" ref="N24" r:id="rId37"/>
    <hyperlink xmlns:r="http://schemas.openxmlformats.org/officeDocument/2006/relationships" ref="O24" r:id="rId38"/>
    <hyperlink xmlns:r="http://schemas.openxmlformats.org/officeDocument/2006/relationships" ref="N25" r:id="rId39"/>
    <hyperlink xmlns:r="http://schemas.openxmlformats.org/officeDocument/2006/relationships" ref="O25" r:id="rId40"/>
    <hyperlink xmlns:r="http://schemas.openxmlformats.org/officeDocument/2006/relationships" ref="N26" r:id="rId41"/>
    <hyperlink xmlns:r="http://schemas.openxmlformats.org/officeDocument/2006/relationships" ref="O26" r:id="rId42"/>
    <hyperlink xmlns:r="http://schemas.openxmlformats.org/officeDocument/2006/relationships" ref="N27" r:id="rId43"/>
    <hyperlink xmlns:r="http://schemas.openxmlformats.org/officeDocument/2006/relationships" ref="O27" r:id="rId44"/>
    <hyperlink xmlns:r="http://schemas.openxmlformats.org/officeDocument/2006/relationships" ref="N28" r:id="rId45"/>
    <hyperlink xmlns:r="http://schemas.openxmlformats.org/officeDocument/2006/relationships" ref="O28" r:id="rId46"/>
    <hyperlink xmlns:r="http://schemas.openxmlformats.org/officeDocument/2006/relationships" ref="N29" r:id="rId47"/>
    <hyperlink xmlns:r="http://schemas.openxmlformats.org/officeDocument/2006/relationships" ref="O29" r:id="rId48"/>
    <hyperlink xmlns:r="http://schemas.openxmlformats.org/officeDocument/2006/relationships" ref="N30" r:id="rId49"/>
    <hyperlink xmlns:r="http://schemas.openxmlformats.org/officeDocument/2006/relationships" ref="O30" r:id="rId50"/>
    <hyperlink xmlns:r="http://schemas.openxmlformats.org/officeDocument/2006/relationships" ref="N31" r:id="rId51"/>
    <hyperlink xmlns:r="http://schemas.openxmlformats.org/officeDocument/2006/relationships" ref="O31" r:id="rId52"/>
    <hyperlink xmlns:r="http://schemas.openxmlformats.org/officeDocument/2006/relationships" ref="N32" r:id="rId53"/>
    <hyperlink xmlns:r="http://schemas.openxmlformats.org/officeDocument/2006/relationships" ref="O32" r:id="rId54"/>
    <hyperlink xmlns:r="http://schemas.openxmlformats.org/officeDocument/2006/relationships" ref="N33" r:id="rId55"/>
    <hyperlink xmlns:r="http://schemas.openxmlformats.org/officeDocument/2006/relationships" ref="O33" r:id="rId56"/>
    <hyperlink xmlns:r="http://schemas.openxmlformats.org/officeDocument/2006/relationships" ref="N34" r:id="rId57"/>
    <hyperlink xmlns:r="http://schemas.openxmlformats.org/officeDocument/2006/relationships" ref="O34" r:id="rId58"/>
    <hyperlink xmlns:r="http://schemas.openxmlformats.org/officeDocument/2006/relationships" ref="N35" r:id="rId59"/>
    <hyperlink xmlns:r="http://schemas.openxmlformats.org/officeDocument/2006/relationships" ref="O35" r:id="rId60"/>
    <hyperlink xmlns:r="http://schemas.openxmlformats.org/officeDocument/2006/relationships" ref="N36" r:id="rId61"/>
    <hyperlink xmlns:r="http://schemas.openxmlformats.org/officeDocument/2006/relationships" ref="O36" r:id="rId62"/>
    <hyperlink xmlns:r="http://schemas.openxmlformats.org/officeDocument/2006/relationships" ref="N37" r:id="rId63"/>
    <hyperlink xmlns:r="http://schemas.openxmlformats.org/officeDocument/2006/relationships" ref="O37" r:id="rId64"/>
    <hyperlink xmlns:r="http://schemas.openxmlformats.org/officeDocument/2006/relationships" ref="N39" r:id="rId65"/>
    <hyperlink xmlns:r="http://schemas.openxmlformats.org/officeDocument/2006/relationships" ref="O39" r:id="rId66"/>
    <hyperlink xmlns:r="http://schemas.openxmlformats.org/officeDocument/2006/relationships" ref="N40" r:id="rId67"/>
    <hyperlink xmlns:r="http://schemas.openxmlformats.org/officeDocument/2006/relationships" ref="O40" r:id="rId68"/>
    <hyperlink xmlns:r="http://schemas.openxmlformats.org/officeDocument/2006/relationships" ref="N41" r:id="rId69"/>
    <hyperlink xmlns:r="http://schemas.openxmlformats.org/officeDocument/2006/relationships" ref="O41" r:id="rId70"/>
    <hyperlink xmlns:r="http://schemas.openxmlformats.org/officeDocument/2006/relationships" ref="N42" r:id="rId71"/>
    <hyperlink xmlns:r="http://schemas.openxmlformats.org/officeDocument/2006/relationships" ref="O42" r:id="rId72"/>
    <hyperlink xmlns:r="http://schemas.openxmlformats.org/officeDocument/2006/relationships" ref="N43" r:id="rId73"/>
    <hyperlink xmlns:r="http://schemas.openxmlformats.org/officeDocument/2006/relationships" ref="O43" r:id="rId74"/>
    <hyperlink xmlns:r="http://schemas.openxmlformats.org/officeDocument/2006/relationships" ref="N44" r:id="rId75"/>
    <hyperlink xmlns:r="http://schemas.openxmlformats.org/officeDocument/2006/relationships" ref="O44" r:id="rId76"/>
    <hyperlink xmlns:r="http://schemas.openxmlformats.org/officeDocument/2006/relationships" ref="N45" r:id="rId77"/>
    <hyperlink xmlns:r="http://schemas.openxmlformats.org/officeDocument/2006/relationships" ref="O45" r:id="rId78"/>
    <hyperlink xmlns:r="http://schemas.openxmlformats.org/officeDocument/2006/relationships" ref="N46" r:id="rId79"/>
    <hyperlink xmlns:r="http://schemas.openxmlformats.org/officeDocument/2006/relationships" ref="O46" r:id="rId80"/>
    <hyperlink xmlns:r="http://schemas.openxmlformats.org/officeDocument/2006/relationships" ref="N47" r:id="rId81"/>
    <hyperlink xmlns:r="http://schemas.openxmlformats.org/officeDocument/2006/relationships" ref="O47" r:id="rId82"/>
    <hyperlink xmlns:r="http://schemas.openxmlformats.org/officeDocument/2006/relationships" ref="N48" r:id="rId83"/>
    <hyperlink xmlns:r="http://schemas.openxmlformats.org/officeDocument/2006/relationships" ref="O48" r:id="rId84"/>
    <hyperlink xmlns:r="http://schemas.openxmlformats.org/officeDocument/2006/relationships" ref="N49" r:id="rId85"/>
    <hyperlink xmlns:r="http://schemas.openxmlformats.org/officeDocument/2006/relationships" ref="O49" r:id="rId86"/>
    <hyperlink xmlns:r="http://schemas.openxmlformats.org/officeDocument/2006/relationships" ref="N50" r:id="rId87"/>
    <hyperlink xmlns:r="http://schemas.openxmlformats.org/officeDocument/2006/relationships" ref="O50" r:id="rId88"/>
    <hyperlink xmlns:r="http://schemas.openxmlformats.org/officeDocument/2006/relationships" ref="N51" r:id="rId89"/>
    <hyperlink xmlns:r="http://schemas.openxmlformats.org/officeDocument/2006/relationships" ref="O51" r:id="rId90"/>
    <hyperlink xmlns:r="http://schemas.openxmlformats.org/officeDocument/2006/relationships" ref="N52" r:id="rId91"/>
    <hyperlink xmlns:r="http://schemas.openxmlformats.org/officeDocument/2006/relationships" ref="O52" r:id="rId92"/>
    <hyperlink xmlns:r="http://schemas.openxmlformats.org/officeDocument/2006/relationships" ref="N53" r:id="rId93"/>
    <hyperlink xmlns:r="http://schemas.openxmlformats.org/officeDocument/2006/relationships" ref="O53" r:id="rId94"/>
    <hyperlink xmlns:r="http://schemas.openxmlformats.org/officeDocument/2006/relationships" ref="N54" r:id="rId95"/>
    <hyperlink xmlns:r="http://schemas.openxmlformats.org/officeDocument/2006/relationships" ref="O54" r:id="rId96"/>
    <hyperlink xmlns:r="http://schemas.openxmlformats.org/officeDocument/2006/relationships" ref="N55" r:id="rId97"/>
    <hyperlink xmlns:r="http://schemas.openxmlformats.org/officeDocument/2006/relationships" ref="O55" r:id="rId98"/>
    <hyperlink xmlns:r="http://schemas.openxmlformats.org/officeDocument/2006/relationships" ref="N56" r:id="rId99"/>
    <hyperlink xmlns:r="http://schemas.openxmlformats.org/officeDocument/2006/relationships" ref="O56" r:id="rId100"/>
    <hyperlink xmlns:r="http://schemas.openxmlformats.org/officeDocument/2006/relationships" ref="N57" r:id="rId101"/>
    <hyperlink xmlns:r="http://schemas.openxmlformats.org/officeDocument/2006/relationships" ref="O57" r:id="rId102"/>
    <hyperlink xmlns:r="http://schemas.openxmlformats.org/officeDocument/2006/relationships" ref="N58" r:id="rId103"/>
    <hyperlink xmlns:r="http://schemas.openxmlformats.org/officeDocument/2006/relationships" ref="O58" r:id="rId104"/>
    <hyperlink xmlns:r="http://schemas.openxmlformats.org/officeDocument/2006/relationships" ref="N59" r:id="rId105"/>
    <hyperlink xmlns:r="http://schemas.openxmlformats.org/officeDocument/2006/relationships" ref="O59" r:id="rId106"/>
    <hyperlink xmlns:r="http://schemas.openxmlformats.org/officeDocument/2006/relationships" ref="N60" r:id="rId107"/>
    <hyperlink xmlns:r="http://schemas.openxmlformats.org/officeDocument/2006/relationships" ref="O60" r:id="rId108"/>
    <hyperlink xmlns:r="http://schemas.openxmlformats.org/officeDocument/2006/relationships" ref="N61" r:id="rId109"/>
    <hyperlink xmlns:r="http://schemas.openxmlformats.org/officeDocument/2006/relationships" ref="O61" r:id="rId110"/>
    <hyperlink xmlns:r="http://schemas.openxmlformats.org/officeDocument/2006/relationships" ref="N62" r:id="rId111"/>
    <hyperlink xmlns:r="http://schemas.openxmlformats.org/officeDocument/2006/relationships" ref="O62" r:id="rId112"/>
    <hyperlink xmlns:r="http://schemas.openxmlformats.org/officeDocument/2006/relationships" ref="N63" r:id="rId113"/>
    <hyperlink xmlns:r="http://schemas.openxmlformats.org/officeDocument/2006/relationships" ref="O63" r:id="rId114"/>
    <hyperlink xmlns:r="http://schemas.openxmlformats.org/officeDocument/2006/relationships" ref="N64" r:id="rId115"/>
    <hyperlink xmlns:r="http://schemas.openxmlformats.org/officeDocument/2006/relationships" ref="O64" r:id="rId116"/>
    <hyperlink xmlns:r="http://schemas.openxmlformats.org/officeDocument/2006/relationships" ref="N65" r:id="rId117"/>
    <hyperlink xmlns:r="http://schemas.openxmlformats.org/officeDocument/2006/relationships" ref="O65" r:id="rId118"/>
    <hyperlink xmlns:r="http://schemas.openxmlformats.org/officeDocument/2006/relationships" ref="N66" r:id="rId119"/>
    <hyperlink xmlns:r="http://schemas.openxmlformats.org/officeDocument/2006/relationships" ref="O66" r:id="rId120"/>
    <hyperlink xmlns:r="http://schemas.openxmlformats.org/officeDocument/2006/relationships" ref="N67" r:id="rId121"/>
    <hyperlink xmlns:r="http://schemas.openxmlformats.org/officeDocument/2006/relationships" ref="O67" r:id="rId122"/>
    <hyperlink xmlns:r="http://schemas.openxmlformats.org/officeDocument/2006/relationships" ref="N68" r:id="rId123"/>
    <hyperlink xmlns:r="http://schemas.openxmlformats.org/officeDocument/2006/relationships" ref="O68" r:id="rId124"/>
    <hyperlink xmlns:r="http://schemas.openxmlformats.org/officeDocument/2006/relationships" ref="N69" r:id="rId125"/>
    <hyperlink xmlns:r="http://schemas.openxmlformats.org/officeDocument/2006/relationships" ref="O69" r:id="rId126"/>
    <hyperlink xmlns:r="http://schemas.openxmlformats.org/officeDocument/2006/relationships" ref="N70" r:id="rId127"/>
    <hyperlink xmlns:r="http://schemas.openxmlformats.org/officeDocument/2006/relationships" ref="O70" r:id="rId128"/>
    <hyperlink xmlns:r="http://schemas.openxmlformats.org/officeDocument/2006/relationships" ref="N71" r:id="rId129"/>
    <hyperlink xmlns:r="http://schemas.openxmlformats.org/officeDocument/2006/relationships" ref="O71" r:id="rId130"/>
    <hyperlink xmlns:r="http://schemas.openxmlformats.org/officeDocument/2006/relationships" ref="N72" r:id="rId131"/>
    <hyperlink xmlns:r="http://schemas.openxmlformats.org/officeDocument/2006/relationships" ref="O72" r:id="rId132"/>
    <hyperlink xmlns:r="http://schemas.openxmlformats.org/officeDocument/2006/relationships" ref="N73" r:id="rId133"/>
    <hyperlink xmlns:r="http://schemas.openxmlformats.org/officeDocument/2006/relationships" ref="O73" r:id="rId134"/>
    <hyperlink xmlns:r="http://schemas.openxmlformats.org/officeDocument/2006/relationships" ref="N74" r:id="rId135"/>
    <hyperlink xmlns:r="http://schemas.openxmlformats.org/officeDocument/2006/relationships" ref="O74" r:id="rId136"/>
    <hyperlink xmlns:r="http://schemas.openxmlformats.org/officeDocument/2006/relationships" ref="N75" r:id="rId137"/>
    <hyperlink xmlns:r="http://schemas.openxmlformats.org/officeDocument/2006/relationships" ref="O75" r:id="rId138"/>
    <hyperlink xmlns:r="http://schemas.openxmlformats.org/officeDocument/2006/relationships" ref="N76" r:id="rId139"/>
    <hyperlink xmlns:r="http://schemas.openxmlformats.org/officeDocument/2006/relationships" ref="O76" r:id="rId140"/>
    <hyperlink xmlns:r="http://schemas.openxmlformats.org/officeDocument/2006/relationships" ref="N77" r:id="rId141"/>
    <hyperlink xmlns:r="http://schemas.openxmlformats.org/officeDocument/2006/relationships" ref="O77" r:id="rId142"/>
    <hyperlink xmlns:r="http://schemas.openxmlformats.org/officeDocument/2006/relationships" ref="N78" r:id="rId143"/>
    <hyperlink xmlns:r="http://schemas.openxmlformats.org/officeDocument/2006/relationships" ref="O78" r:id="rId144"/>
    <hyperlink xmlns:r="http://schemas.openxmlformats.org/officeDocument/2006/relationships" ref="N79" r:id="rId145"/>
    <hyperlink xmlns:r="http://schemas.openxmlformats.org/officeDocument/2006/relationships" ref="O79" r:id="rId146"/>
    <hyperlink xmlns:r="http://schemas.openxmlformats.org/officeDocument/2006/relationships" ref="N80" r:id="rId147"/>
    <hyperlink xmlns:r="http://schemas.openxmlformats.org/officeDocument/2006/relationships" ref="O80" r:id="rId148"/>
    <hyperlink xmlns:r="http://schemas.openxmlformats.org/officeDocument/2006/relationships" ref="N81" r:id="rId149"/>
    <hyperlink xmlns:r="http://schemas.openxmlformats.org/officeDocument/2006/relationships" ref="O81" r:id="rId150"/>
    <hyperlink xmlns:r="http://schemas.openxmlformats.org/officeDocument/2006/relationships" ref="N82" r:id="rId151"/>
    <hyperlink xmlns:r="http://schemas.openxmlformats.org/officeDocument/2006/relationships" ref="O82" r:id="rId152"/>
    <hyperlink xmlns:r="http://schemas.openxmlformats.org/officeDocument/2006/relationships" ref="N83" r:id="rId153"/>
    <hyperlink xmlns:r="http://schemas.openxmlformats.org/officeDocument/2006/relationships" ref="O83" r:id="rId154"/>
    <hyperlink xmlns:r="http://schemas.openxmlformats.org/officeDocument/2006/relationships" ref="N84" r:id="rId155"/>
    <hyperlink xmlns:r="http://schemas.openxmlformats.org/officeDocument/2006/relationships" ref="O84" r:id="rId1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7"/>
  <sheetViews>
    <sheetView showGridLines="1" workbookViewId="0">
      <pane ySplit="2" topLeftCell="A3" activePane="bottomLeft" state="frozen"/>
      <selection pane="bottomLeft" activeCell="A1" sqref="A1"/>
    </sheetView>
  </sheetViews>
  <sheetFormatPr baseColWidth="8" defaultRowHeight="15"/>
  <cols>
    <col width="14" customWidth="1" min="1" max="1"/>
    <col width="34" customWidth="1" min="2" max="2"/>
    <col width="14" customWidth="1" min="3" max="3"/>
    <col width="18" customWidth="1" min="4" max="4"/>
    <col width="16" customWidth="1" min="5" max="5"/>
    <col width="16" customWidth="1" min="6" max="6"/>
    <col width="30" customWidth="1" min="7" max="7"/>
  </cols>
  <sheetData>
    <row r="1" ht="36" customHeight="1">
      <c r="A1" s="20" t="inlineStr">
        <is>
          <t>DANH MỤC NGUYÊN VẬT LIỆU KHO &amp; GIÁ VỐN COST (PIPO GARDEN)</t>
        </is>
      </c>
    </row>
    <row r="2" ht="28" customHeight="1">
      <c r="A2" s="21" t="inlineStr">
        <is>
          <t>Mã NVL</t>
        </is>
      </c>
      <c r="B2" s="21" t="inlineStr">
        <is>
          <t>Tên Nguyên Vật Liệu</t>
        </is>
      </c>
      <c r="C2" s="21" t="inlineStr">
        <is>
          <t>Đơn vị tính</t>
        </is>
      </c>
      <c r="D2" s="21" t="inlineStr">
        <is>
          <t>Giá vốn cost (VNĐ)</t>
        </is>
      </c>
      <c r="E2" s="21" t="inlineStr">
        <is>
          <t>Tồn kho hiện tại</t>
        </is>
      </c>
      <c r="F2" s="21" t="inlineStr">
        <is>
          <t>Tồn tối thiểu</t>
        </is>
      </c>
      <c r="G2" s="21" t="inlineStr">
        <is>
          <t>Nhà cung cấp / Ghi chú</t>
        </is>
      </c>
    </row>
    <row r="3" ht="22" customHeight="1">
      <c r="A3" s="12" t="inlineStr">
        <is>
          <t>NVL01</t>
        </is>
      </c>
      <c r="B3" s="13" t="inlineStr">
        <is>
          <t>Tôm Sú / Tôm Thẻ Tươi Phú Quốc</t>
        </is>
      </c>
      <c r="C3" s="18" t="inlineStr">
        <is>
          <t>kg</t>
        </is>
      </c>
      <c r="D3" s="15" t="n">
        <v>220000</v>
      </c>
      <c r="E3" s="22" t="n">
        <v>34.64</v>
      </c>
      <c r="F3" s="22" t="n">
        <v>8</v>
      </c>
      <c r="G3" s="14" t="inlineStr">
        <is>
          <t>Vựa Hải Sản Hàm Ninh</t>
        </is>
      </c>
    </row>
    <row r="4" ht="22" customHeight="1">
      <c r="A4" s="4" t="inlineStr">
        <is>
          <t>NVL02</t>
        </is>
      </c>
      <c r="B4" s="5" t="inlineStr">
        <is>
          <t>Ốc Hương Tươi Sống</t>
        </is>
      </c>
      <c r="C4" s="10" t="inlineStr">
        <is>
          <t>kg</t>
        </is>
      </c>
      <c r="D4" s="7" t="n">
        <v>250000</v>
      </c>
      <c r="E4" s="23" t="n">
        <v>25</v>
      </c>
      <c r="F4" s="23" t="n">
        <v>5</v>
      </c>
      <c r="G4" s="6" t="inlineStr">
        <is>
          <t>Vựa Hải Sản Hàm Ninh</t>
        </is>
      </c>
    </row>
    <row r="5" ht="22" customHeight="1">
      <c r="A5" s="12" t="inlineStr">
        <is>
          <t>NVL03</t>
        </is>
      </c>
      <c r="B5" s="13" t="inlineStr">
        <is>
          <t>Bạch Tuộc Tươi Phú Quốc</t>
        </is>
      </c>
      <c r="C5" s="18" t="inlineStr">
        <is>
          <t>kg</t>
        </is>
      </c>
      <c r="D5" s="15" t="n">
        <v>160000</v>
      </c>
      <c r="E5" s="22" t="n">
        <v>28</v>
      </c>
      <c r="F5" s="22" t="n">
        <v>6</v>
      </c>
      <c r="G5" s="14" t="inlineStr">
        <is>
          <t>Hải Sản Đảo Ngọc</t>
        </is>
      </c>
    </row>
    <row r="6" ht="22" customHeight="1">
      <c r="A6" s="4" t="inlineStr">
        <is>
          <t>NVL04</t>
        </is>
      </c>
      <c r="B6" s="5" t="inlineStr">
        <is>
          <t>Hàu Sữa Tươi Đại Dương</t>
        </is>
      </c>
      <c r="C6" s="10" t="inlineStr">
        <is>
          <t>con</t>
        </is>
      </c>
      <c r="D6" s="7" t="n">
        <v>7000</v>
      </c>
      <c r="E6" s="23" t="n">
        <v>200</v>
      </c>
      <c r="F6" s="23" t="n">
        <v>40</v>
      </c>
      <c r="G6" s="6" t="inlineStr">
        <is>
          <t>Hải Sản Đảo Ngọc</t>
        </is>
      </c>
    </row>
    <row r="7" ht="22" customHeight="1">
      <c r="A7" s="12" t="inlineStr">
        <is>
          <t>NVL05</t>
        </is>
      </c>
      <c r="B7" s="13" t="inlineStr">
        <is>
          <t>Nghêu Lụa Tươi Sống</t>
        </is>
      </c>
      <c r="C7" s="18" t="inlineStr">
        <is>
          <t>kg</t>
        </is>
      </c>
      <c r="D7" s="15" t="n">
        <v>65000</v>
      </c>
      <c r="E7" s="22" t="n">
        <v>30</v>
      </c>
      <c r="F7" s="22" t="n">
        <v>6</v>
      </c>
      <c r="G7" s="14" t="inlineStr">
        <is>
          <t>Vựa Hải Sản Hàm Ninh</t>
        </is>
      </c>
    </row>
    <row r="8" ht="22" customHeight="1">
      <c r="A8" s="4" t="inlineStr">
        <is>
          <t>NVL06</t>
        </is>
      </c>
      <c r="B8" s="5" t="inlineStr">
        <is>
          <t>Tôm Khô Phú Quốc Loại 1</t>
        </is>
      </c>
      <c r="C8" s="10" t="inlineStr">
        <is>
          <t>kg</t>
        </is>
      </c>
      <c r="D8" s="7" t="n">
        <v>450000</v>
      </c>
      <c r="E8" s="23" t="n">
        <v>8</v>
      </c>
      <c r="F8" s="23" t="n">
        <v>2</v>
      </c>
      <c r="G8" s="6" t="inlineStr">
        <is>
          <t>Đặc Sản Dương Đông</t>
        </is>
      </c>
    </row>
    <row r="9" ht="22" customHeight="1">
      <c r="A9" s="12" t="inlineStr">
        <is>
          <t>NVL07</t>
        </is>
      </c>
      <c r="B9" s="13" t="inlineStr">
        <is>
          <t>Gà Ta Thả Vườn Làm Sạch</t>
        </is>
      </c>
      <c r="C9" s="18" t="inlineStr">
        <is>
          <t>kg</t>
        </is>
      </c>
      <c r="D9" s="15" t="n">
        <v>82000</v>
      </c>
      <c r="E9" s="22" t="n">
        <v>45</v>
      </c>
      <c r="F9" s="22" t="n">
        <v>10</v>
      </c>
      <c r="G9" s="14" t="inlineStr">
        <is>
          <t>Trang Trại Gà Đồi Phú Quốc</t>
        </is>
      </c>
    </row>
    <row r="10" ht="22" customHeight="1">
      <c r="A10" s="4" t="inlineStr">
        <is>
          <t>NVL08</t>
        </is>
      </c>
      <c r="B10" s="5" t="inlineStr">
        <is>
          <t>Chân Gà Tươi Chọn Lọc</t>
        </is>
      </c>
      <c r="C10" s="10" t="inlineStr">
        <is>
          <t>kg</t>
        </is>
      </c>
      <c r="D10" s="7" t="n">
        <v>80000</v>
      </c>
      <c r="E10" s="23" t="n">
        <v>18</v>
      </c>
      <c r="F10" s="23" t="n">
        <v>4</v>
      </c>
      <c r="G10" s="6" t="inlineStr">
        <is>
          <t>CP Foods Vietnam</t>
        </is>
      </c>
    </row>
    <row r="11" ht="22" customHeight="1">
      <c r="A11" s="12" t="inlineStr">
        <is>
          <t>NVL09</t>
        </is>
      </c>
      <c r="B11" s="13" t="inlineStr">
        <is>
          <t>Vịt Tươi Nguyên Con</t>
        </is>
      </c>
      <c r="C11" s="18" t="inlineStr">
        <is>
          <t>kg</t>
        </is>
      </c>
      <c r="D11" s="15" t="n">
        <v>78000</v>
      </c>
      <c r="E11" s="22" t="n">
        <v>25</v>
      </c>
      <c r="F11" s="22" t="n">
        <v>5</v>
      </c>
      <c r="G11" s="14" t="inlineStr">
        <is>
          <t>Trang Trại Gia Cầm Sạch</t>
        </is>
      </c>
    </row>
    <row r="12" ht="22" customHeight="1">
      <c r="A12" s="4" t="inlineStr">
        <is>
          <t>NVL10</t>
        </is>
      </c>
      <c r="B12" s="5" t="inlineStr">
        <is>
          <t>Thịt Bò Thăn Mềm Tươi</t>
        </is>
      </c>
      <c r="C12" s="10" t="inlineStr">
        <is>
          <t>kg</t>
        </is>
      </c>
      <c r="D12" s="7" t="n">
        <v>260000</v>
      </c>
      <c r="E12" s="23" t="n">
        <v>22</v>
      </c>
      <c r="F12" s="23" t="n">
        <v>5</v>
      </c>
      <c r="G12" s="6" t="inlineStr">
        <is>
          <t>Thực Phẩm Bò Tơ</t>
        </is>
      </c>
    </row>
    <row r="13" ht="22" customHeight="1">
      <c r="A13" s="12" t="inlineStr">
        <is>
          <t>NVL11</t>
        </is>
      </c>
      <c r="B13" s="13" t="inlineStr">
        <is>
          <t>Thịt Chân Giò / Ba Chỉ Heo</t>
        </is>
      </c>
      <c r="C13" s="18" t="inlineStr">
        <is>
          <t>kg</t>
        </is>
      </c>
      <c r="D13" s="15" t="n">
        <v>125000</v>
      </c>
      <c r="E13" s="22" t="n">
        <v>25</v>
      </c>
      <c r="F13" s="22" t="n">
        <v>5</v>
      </c>
      <c r="G13" s="14" t="inlineStr">
        <is>
          <t>CP Foods Vietnam</t>
        </is>
      </c>
    </row>
    <row r="14" ht="22" customHeight="1">
      <c r="A14" s="4" t="inlineStr">
        <is>
          <t>NVL12</t>
        </is>
      </c>
      <c r="B14" s="5" t="inlineStr">
        <is>
          <t>Nầm Heo Tươi Chọn Lọc</t>
        </is>
      </c>
      <c r="C14" s="10" t="inlineStr">
        <is>
          <t>kg</t>
        </is>
      </c>
      <c r="D14" s="7" t="n">
        <v>145000</v>
      </c>
      <c r="E14" s="23" t="n">
        <v>18</v>
      </c>
      <c r="F14" s="23" t="n">
        <v>4</v>
      </c>
      <c r="G14" s="6" t="inlineStr">
        <is>
          <t>CP Foods Vietnam</t>
        </is>
      </c>
    </row>
    <row r="15" ht="22" customHeight="1">
      <c r="A15" s="12" t="inlineStr">
        <is>
          <t>NVL13</t>
        </is>
      </c>
      <c r="B15" s="13" t="inlineStr">
        <is>
          <t>Khoai Môn Cao Sản</t>
        </is>
      </c>
      <c r="C15" s="18" t="inlineStr">
        <is>
          <t>kg</t>
        </is>
      </c>
      <c r="D15" s="15" t="n">
        <v>35000</v>
      </c>
      <c r="E15" s="22" t="n">
        <v>18.2</v>
      </c>
      <c r="F15" s="22" t="n">
        <v>5</v>
      </c>
      <c r="G15" s="14" t="inlineStr">
        <is>
          <t>Nông Sản Miền Tây</t>
        </is>
      </c>
    </row>
    <row r="16" ht="22" customHeight="1">
      <c r="A16" s="4" t="inlineStr">
        <is>
          <t>NVL14</t>
        </is>
      </c>
      <c r="B16" s="5" t="inlineStr">
        <is>
          <t>Khoai Tây Cọng Đông Lạnh</t>
        </is>
      </c>
      <c r="C16" s="10" t="inlineStr">
        <is>
          <t>kg</t>
        </is>
      </c>
      <c r="D16" s="7" t="n">
        <v>52000</v>
      </c>
      <c r="E16" s="23" t="n">
        <v>32.30000000000003</v>
      </c>
      <c r="F16" s="23" t="n">
        <v>8</v>
      </c>
      <c r="G16" s="6" t="inlineStr">
        <is>
          <t>Lutosa Imports</t>
        </is>
      </c>
    </row>
    <row r="17" ht="22" customHeight="1">
      <c r="A17" s="12" t="inlineStr">
        <is>
          <t>NVL15</t>
        </is>
      </c>
      <c r="B17" s="13" t="inlineStr">
        <is>
          <t>Đậu Hũ Non / Đậu Hũ Trắng</t>
        </is>
      </c>
      <c r="C17" s="18" t="inlineStr">
        <is>
          <t>bìa</t>
        </is>
      </c>
      <c r="D17" s="15" t="n">
        <v>4000</v>
      </c>
      <c r="E17" s="22" t="n">
        <v>120</v>
      </c>
      <c r="F17" s="22" t="n">
        <v>25</v>
      </c>
      <c r="G17" s="14" t="inlineStr">
        <is>
          <t>Làng Đậu Truyền Thống</t>
        </is>
      </c>
    </row>
    <row r="18" ht="22" customHeight="1">
      <c r="A18" s="4" t="inlineStr">
        <is>
          <t>NVL16</t>
        </is>
      </c>
      <c r="B18" s="5" t="inlineStr">
        <is>
          <t>Xoài Xanh Keo Giòn</t>
        </is>
      </c>
      <c r="C18" s="10" t="inlineStr">
        <is>
          <t>kg</t>
        </is>
      </c>
      <c r="D18" s="7" t="n">
        <v>28000</v>
      </c>
      <c r="E18" s="23" t="n">
        <v>20</v>
      </c>
      <c r="F18" s="23" t="n">
        <v>5</v>
      </c>
      <c r="G18" s="6" t="inlineStr">
        <is>
          <t>Nông Sản Miền Tây</t>
        </is>
      </c>
    </row>
    <row r="19" ht="22" customHeight="1">
      <c r="A19" s="12" t="inlineStr">
        <is>
          <t>NVL17</t>
        </is>
      </c>
      <c r="B19" s="13" t="inlineStr">
        <is>
          <t>Rau Muống Tươi Nhặt Sẵn</t>
        </is>
      </c>
      <c r="C19" s="18" t="inlineStr">
        <is>
          <t>kg</t>
        </is>
      </c>
      <c r="D19" s="15" t="n">
        <v>20000</v>
      </c>
      <c r="E19" s="22" t="n">
        <v>25</v>
      </c>
      <c r="F19" s="22" t="n">
        <v>5</v>
      </c>
      <c r="G19" s="14" t="inlineStr">
        <is>
          <t>Vườn Rau Sạch PiPo</t>
        </is>
      </c>
    </row>
    <row r="20" ht="22" customHeight="1">
      <c r="A20" s="4" t="inlineStr">
        <is>
          <t>NVL18</t>
        </is>
      </c>
      <c r="B20" s="5" t="inlineStr">
        <is>
          <t>Cải Thìa Đà Lạt</t>
        </is>
      </c>
      <c r="C20" s="10" t="inlineStr">
        <is>
          <t>kg</t>
        </is>
      </c>
      <c r="D20" s="7" t="n">
        <v>25000</v>
      </c>
      <c r="E20" s="23" t="n">
        <v>25</v>
      </c>
      <c r="F20" s="23" t="n">
        <v>5</v>
      </c>
      <c r="G20" s="6" t="inlineStr">
        <is>
          <t>Nông Trại Đà Lạt</t>
        </is>
      </c>
    </row>
    <row r="21" ht="22" customHeight="1">
      <c r="A21" s="12" t="inlineStr">
        <is>
          <t>NVL20</t>
        </is>
      </c>
      <c r="B21" s="13" t="inlineStr">
        <is>
          <t>Gạo Thơm ST25 (Nấu Cơm)</t>
        </is>
      </c>
      <c r="C21" s="18" t="inlineStr">
        <is>
          <t>kg</t>
        </is>
      </c>
      <c r="D21" s="15" t="n">
        <v>32000</v>
      </c>
      <c r="E21" s="22" t="n">
        <v>50</v>
      </c>
      <c r="F21" s="22" t="n">
        <v>10</v>
      </c>
      <c r="G21" s="14" t="inlineStr">
        <is>
          <t>Đại Lý Gạo Sóc Trăng</t>
        </is>
      </c>
    </row>
    <row r="22" ht="22" customHeight="1">
      <c r="A22" s="4" t="inlineStr">
        <is>
          <t>NVL21</t>
        </is>
      </c>
      <c r="B22" s="5" t="inlineStr">
        <is>
          <t>Mì Vàng Tươi / Mì Trứng</t>
        </is>
      </c>
      <c r="C22" s="10" t="inlineStr">
        <is>
          <t>vắt</t>
        </is>
      </c>
      <c r="D22" s="7" t="n">
        <v>5000</v>
      </c>
      <c r="E22" s="23" t="n">
        <v>150</v>
      </c>
      <c r="F22" s="23" t="n">
        <v>30</v>
      </c>
      <c r="G22" s="6" t="inlineStr">
        <is>
          <t>Lò Mì Tươi Gia Truyền</t>
        </is>
      </c>
    </row>
    <row r="23" ht="22" customHeight="1">
      <c r="A23" s="12" t="inlineStr">
        <is>
          <t>NVL23</t>
        </is>
      </c>
      <c r="B23" s="13" t="inlineStr">
        <is>
          <t>Trứng Muối &amp; Trứng Gà Tươi</t>
        </is>
      </c>
      <c r="C23" s="18" t="inlineStr">
        <is>
          <t>quả</t>
        </is>
      </c>
      <c r="D23" s="15" t="n">
        <v>4500</v>
      </c>
      <c r="E23" s="22" t="n">
        <v>180</v>
      </c>
      <c r="F23" s="22" t="n">
        <v>30</v>
      </c>
      <c r="G23" s="14" t="inlineStr">
        <is>
          <t>CP Foods Vietnam</t>
        </is>
      </c>
    </row>
    <row r="24" ht="22" customHeight="1">
      <c r="A24" s="4" t="inlineStr">
        <is>
          <t>NVL27</t>
        </is>
      </c>
      <c r="B24" s="5" t="inlineStr">
        <is>
          <t>Trà Lài &amp; Trà Olong Thượng Hạng</t>
        </is>
      </c>
      <c r="C24" s="10" t="inlineStr">
        <is>
          <t>kg</t>
        </is>
      </c>
      <c r="D24" s="7" t="n">
        <v>180000</v>
      </c>
      <c r="E24" s="23" t="n">
        <v>10</v>
      </c>
      <c r="F24" s="23" t="n">
        <v>2</v>
      </c>
      <c r="G24" s="6" t="inlineStr">
        <is>
          <t>Trà Bảo Lộc</t>
        </is>
      </c>
    </row>
    <row r="25" ht="22" customHeight="1">
      <c r="A25" s="12" t="inlineStr">
        <is>
          <t>NVL28</t>
        </is>
      </c>
      <c r="B25" s="13" t="inlineStr">
        <is>
          <t>Đào Ngâm &amp; Mãng Cầu Xiêm Tươi</t>
        </is>
      </c>
      <c r="C25" s="18" t="inlineStr">
        <is>
          <t>kg</t>
        </is>
      </c>
      <c r="D25" s="15" t="n">
        <v>65000</v>
      </c>
      <c r="E25" s="22" t="n">
        <v>20</v>
      </c>
      <c r="F25" s="22" t="n">
        <v>4</v>
      </c>
      <c r="G25" s="14" t="inlineStr">
        <is>
          <t>Thực Phẩm Pha Chế</t>
        </is>
      </c>
    </row>
    <row r="26" ht="22" customHeight="1">
      <c r="A26" s="4" t="inlineStr">
        <is>
          <t>NVL29</t>
        </is>
      </c>
      <c r="B26" s="5" t="inlineStr">
        <is>
          <t>Dưa Hấu &amp; Trái Cây Tươi</t>
        </is>
      </c>
      <c r="C26" s="10" t="inlineStr">
        <is>
          <t>kg</t>
        </is>
      </c>
      <c r="D26" s="7" t="n">
        <v>22000</v>
      </c>
      <c r="E26" s="23" t="n">
        <v>35</v>
      </c>
      <c r="F26" s="23" t="n">
        <v>8</v>
      </c>
      <c r="G26" s="6" t="inlineStr">
        <is>
          <t>Nông Sản Miền Tây</t>
        </is>
      </c>
    </row>
    <row r="27" ht="22" customHeight="1">
      <c r="A27" s="12" t="inlineStr">
        <is>
          <t>NVL100</t>
        </is>
      </c>
      <c r="B27" s="13" t="inlineStr">
        <is>
          <t>Mực Ống Tươi Phú Quốc</t>
        </is>
      </c>
      <c r="C27" s="18" t="inlineStr">
        <is>
          <t>kg</t>
        </is>
      </c>
      <c r="D27" s="15" t="n">
        <v>180000</v>
      </c>
      <c r="E27" s="22" t="n">
        <v>24.64</v>
      </c>
      <c r="F27" s="22" t="n">
        <v>2</v>
      </c>
      <c r="G27" s="14" t="inlineStr">
        <is>
          <t>Vựa Hải Sản Hàm Ninh</t>
        </is>
      </c>
    </row>
    <row r="28" ht="22" customHeight="1">
      <c r="A28" s="4" t="inlineStr">
        <is>
          <t>NVL31</t>
        </is>
      </c>
      <c r="B28" s="5" t="inlineStr">
        <is>
          <t>Ốc Móng Tay Tươi Sống</t>
        </is>
      </c>
      <c r="C28" s="10" t="inlineStr">
        <is>
          <t>kg</t>
        </is>
      </c>
      <c r="D28" s="7" t="n">
        <v>110000</v>
      </c>
      <c r="E28" s="23" t="n">
        <v>30</v>
      </c>
      <c r="F28" s="23" t="n">
        <v>6</v>
      </c>
      <c r="G28" s="6" t="inlineStr">
        <is>
          <t>Vựa Hải Sản Hàm Ninh</t>
        </is>
      </c>
    </row>
    <row r="29" ht="22" customHeight="1">
      <c r="A29" s="12" t="inlineStr">
        <is>
          <t>NVL32</t>
        </is>
      </c>
      <c r="B29" s="13" t="inlineStr">
        <is>
          <t>Cánh Gà Tươi Chọn Lọc</t>
        </is>
      </c>
      <c r="C29" s="18" t="inlineStr">
        <is>
          <t>kg</t>
        </is>
      </c>
      <c r="D29" s="15" t="n">
        <v>85000</v>
      </c>
      <c r="E29" s="22" t="n">
        <v>25</v>
      </c>
      <c r="F29" s="22" t="n">
        <v>5</v>
      </c>
      <c r="G29" s="14" t="inlineStr">
        <is>
          <t>CP Foods Vietnam</t>
        </is>
      </c>
    </row>
    <row r="30" ht="22" customHeight="1">
      <c r="A30" s="4" t="inlineStr">
        <is>
          <t>NVL33</t>
        </is>
      </c>
      <c r="B30" s="5" t="inlineStr">
        <is>
          <t>Thịt Ghẹ Tươi Bóc Sẵn Phú Quốc</t>
        </is>
      </c>
      <c r="C30" s="10" t="inlineStr">
        <is>
          <t>kg</t>
        </is>
      </c>
      <c r="D30" s="7" t="n">
        <v>290000</v>
      </c>
      <c r="E30" s="23" t="n">
        <v>15</v>
      </c>
      <c r="F30" s="23" t="n">
        <v>3</v>
      </c>
      <c r="G30" s="6" t="inlineStr">
        <is>
          <t>Hải Sản Đảo Ngọc</t>
        </is>
      </c>
    </row>
    <row r="31" ht="22" customHeight="1">
      <c r="A31" s="12" t="inlineStr">
        <is>
          <t>NVL37</t>
        </is>
      </c>
      <c r="B31" s="13" t="inlineStr">
        <is>
          <t>Gói Bò Xuyên Tiêu Chuẩn Bị Sẵn</t>
        </is>
      </c>
      <c r="C31" s="18" t="inlineStr">
        <is>
          <t>gói</t>
        </is>
      </c>
      <c r="D31" s="15" t="n">
        <v>85000</v>
      </c>
      <c r="E31" s="22" t="n">
        <v>30</v>
      </c>
      <c r="F31" s="22" t="n">
        <v>6</v>
      </c>
      <c r="G31" s="14" t="inlineStr">
        <is>
          <t>Thực Phẩm Chế Biến Sẵn</t>
        </is>
      </c>
    </row>
    <row r="32" ht="22" customHeight="1">
      <c r="A32" s="4" t="inlineStr">
        <is>
          <t>NVL40</t>
        </is>
      </c>
      <c r="B32" s="5" t="inlineStr">
        <is>
          <t>Gà Đen H'Mông Thả Vườn</t>
        </is>
      </c>
      <c r="C32" s="10" t="inlineStr">
        <is>
          <t>kg</t>
        </is>
      </c>
      <c r="D32" s="7" t="n">
        <v>140000</v>
      </c>
      <c r="E32" s="23" t="n">
        <v>25</v>
      </c>
      <c r="F32" s="23" t="n">
        <v>5</v>
      </c>
      <c r="G32" s="6" t="inlineStr">
        <is>
          <t>Trang Trại Gà Đồi</t>
        </is>
      </c>
    </row>
    <row r="33" ht="22" customHeight="1">
      <c r="A33" s="12" t="inlineStr">
        <is>
          <t>NVL41</t>
        </is>
      </c>
      <c r="B33" s="13" t="inlineStr">
        <is>
          <t>Nước Suối Tinh Khiết Chai 500ml</t>
        </is>
      </c>
      <c r="C33" s="18" t="inlineStr">
        <is>
          <t>chai</t>
        </is>
      </c>
      <c r="D33" s="15" t="n">
        <v>4000</v>
      </c>
      <c r="E33" s="22" t="n">
        <v>105</v>
      </c>
      <c r="F33" s="22" t="n">
        <v>24</v>
      </c>
      <c r="G33" s="14" t="inlineStr">
        <is>
          <t>Đại Lý Nước Giải Khát</t>
        </is>
      </c>
    </row>
    <row r="34" ht="22" customHeight="1">
      <c r="A34" s="4" t="inlineStr">
        <is>
          <t>NVL42</t>
        </is>
      </c>
      <c r="B34" s="5" t="inlineStr">
        <is>
          <t>Nước Ngọt Coca Cola Lon 320ml</t>
        </is>
      </c>
      <c r="C34" s="10" t="inlineStr">
        <is>
          <t>lon</t>
        </is>
      </c>
      <c r="D34" s="7" t="n">
        <v>6800</v>
      </c>
      <c r="E34" s="23" t="n">
        <v>120</v>
      </c>
      <c r="F34" s="23" t="n">
        <v>24</v>
      </c>
      <c r="G34" s="6" t="inlineStr">
        <is>
          <t>Đại Lý Nước Giải Khát</t>
        </is>
      </c>
    </row>
    <row r="35" ht="22" customHeight="1">
      <c r="A35" s="12" t="inlineStr">
        <is>
          <t>NVL43</t>
        </is>
      </c>
      <c r="B35" s="13" t="inlineStr">
        <is>
          <t>Nước Ngọt Pepsi Lon 320ml</t>
        </is>
      </c>
      <c r="C35" s="18" t="inlineStr">
        <is>
          <t>lon</t>
        </is>
      </c>
      <c r="D35" s="15" t="n">
        <v>6800</v>
      </c>
      <c r="E35" s="22" t="n">
        <v>120</v>
      </c>
      <c r="F35" s="22" t="n">
        <v>24</v>
      </c>
      <c r="G35" s="14" t="inlineStr">
        <is>
          <t>Đại Lý Nước Giải Khát</t>
        </is>
      </c>
    </row>
    <row r="36" ht="22" customHeight="1">
      <c r="A36" s="4" t="inlineStr">
        <is>
          <t>NVL44</t>
        </is>
      </c>
      <c r="B36" s="5" t="inlineStr">
        <is>
          <t>Nước Thể Thao Aquarius Lon 320ml</t>
        </is>
      </c>
      <c r="C36" s="10" t="inlineStr">
        <is>
          <t>lon</t>
        </is>
      </c>
      <c r="D36" s="7" t="n">
        <v>6800</v>
      </c>
      <c r="E36" s="23" t="n">
        <v>80</v>
      </c>
      <c r="F36" s="23" t="n">
        <v>15</v>
      </c>
      <c r="G36" s="6" t="inlineStr">
        <is>
          <t>Đại Lý Nước Giải Khát</t>
        </is>
      </c>
    </row>
    <row r="37" ht="22" customHeight="1">
      <c r="A37" s="12" t="inlineStr">
        <is>
          <t>NVL45</t>
        </is>
      </c>
      <c r="B37" s="13" t="inlineStr">
        <is>
          <t>Nước Bù Khoáng Revive Chai 500ml</t>
        </is>
      </c>
      <c r="C37" s="18" t="inlineStr">
        <is>
          <t>chai</t>
        </is>
      </c>
      <c r="D37" s="15" t="n">
        <v>6800</v>
      </c>
      <c r="E37" s="22" t="n">
        <v>78</v>
      </c>
      <c r="F37" s="22" t="n">
        <v>15</v>
      </c>
      <c r="G37" s="14" t="inlineStr">
        <is>
          <t>Đại Lý Nước Giải Khát</t>
        </is>
      </c>
    </row>
    <row r="38" ht="22" customHeight="1">
      <c r="A38" s="4" t="inlineStr">
        <is>
          <t>NVL46</t>
        </is>
      </c>
      <c r="B38" s="5" t="inlineStr">
        <is>
          <t>Bia Bivina Đặc Sản Đảo Lon 330ml</t>
        </is>
      </c>
      <c r="C38" s="10" t="inlineStr">
        <is>
          <t>lon</t>
        </is>
      </c>
      <c r="D38" s="7" t="n">
        <v>8000</v>
      </c>
      <c r="E38" s="23" t="n">
        <v>150</v>
      </c>
      <c r="F38" s="23" t="n">
        <v>30</v>
      </c>
      <c r="G38" s="6" t="inlineStr">
        <is>
          <t>Nhà Phân Phối Bia Phú Quốc</t>
        </is>
      </c>
    </row>
    <row r="39" ht="22" customHeight="1">
      <c r="A39" s="12" t="inlineStr">
        <is>
          <t>NVL47</t>
        </is>
      </c>
      <c r="B39" s="13" t="inlineStr">
        <is>
          <t>Bia Sài Gòn Special/Lager Lon 330ml</t>
        </is>
      </c>
      <c r="C39" s="18" t="inlineStr">
        <is>
          <t>lon</t>
        </is>
      </c>
      <c r="D39" s="15" t="n">
        <v>11000</v>
      </c>
      <c r="E39" s="22" t="n">
        <v>150</v>
      </c>
      <c r="F39" s="22" t="n">
        <v>30</v>
      </c>
      <c r="G39" s="14" t="inlineStr">
        <is>
          <t>Nhà Phân Phối Bia Sabeco</t>
        </is>
      </c>
    </row>
    <row r="40" ht="22" customHeight="1">
      <c r="A40" s="4" t="inlineStr">
        <is>
          <t>NVL48</t>
        </is>
      </c>
      <c r="B40" s="5" t="inlineStr">
        <is>
          <t>Bia Heineken Sleek Lon 250ml</t>
        </is>
      </c>
      <c r="C40" s="10" t="inlineStr">
        <is>
          <t>lon</t>
        </is>
      </c>
      <c r="D40" s="7" t="n">
        <v>13500</v>
      </c>
      <c r="E40" s="23" t="n">
        <v>120</v>
      </c>
      <c r="F40" s="23" t="n">
        <v>24</v>
      </c>
      <c r="G40" s="6" t="inlineStr">
        <is>
          <t>Nhà Phân Phối Bia Heineken</t>
        </is>
      </c>
    </row>
    <row r="41" ht="22" customHeight="1">
      <c r="A41" s="12" t="inlineStr">
        <is>
          <t>NVL50</t>
        </is>
      </c>
      <c r="B41" s="13" t="inlineStr">
        <is>
          <t>Nguyên liệu Cà tím</t>
        </is>
      </c>
      <c r="C41" s="18" t="inlineStr">
        <is>
          <t>đĩa</t>
        </is>
      </c>
      <c r="D41" s="15" t="n">
        <v>12000</v>
      </c>
      <c r="E41" s="22" t="n">
        <v>50</v>
      </c>
      <c r="F41" s="22" t="n">
        <v>5</v>
      </c>
      <c r="G41" s="14" t="inlineStr">
        <is>
          <t>Nhà cung cấp tươi Phú Quốc</t>
        </is>
      </c>
    </row>
    <row r="42" ht="22" customHeight="1">
      <c r="A42" s="4" t="inlineStr">
        <is>
          <t>NVL51</t>
        </is>
      </c>
      <c r="B42" s="5" t="inlineStr">
        <is>
          <t>Nguyên liệu Sườn bò</t>
        </is>
      </c>
      <c r="C42" s="10" t="inlineStr">
        <is>
          <t>phần</t>
        </is>
      </c>
      <c r="D42" s="7" t="n">
        <v>70000</v>
      </c>
      <c r="E42" s="23" t="n">
        <v>50</v>
      </c>
      <c r="F42" s="23" t="n">
        <v>5</v>
      </c>
      <c r="G42" s="6" t="inlineStr">
        <is>
          <t>Nhà cung cấp tươi Phú Quốc</t>
        </is>
      </c>
    </row>
    <row r="43" ht="22" customHeight="1">
      <c r="A43" s="12" t="inlineStr">
        <is>
          <t>NVL52</t>
        </is>
      </c>
      <c r="B43" s="13" t="inlineStr">
        <is>
          <t>Nguyên liệu Đùi gà</t>
        </is>
      </c>
      <c r="C43" s="18" t="inlineStr">
        <is>
          <t>đĩa</t>
        </is>
      </c>
      <c r="D43" s="15" t="n">
        <v>32000</v>
      </c>
      <c r="E43" s="22" t="n">
        <v>50</v>
      </c>
      <c r="F43" s="22" t="n">
        <v>5</v>
      </c>
      <c r="G43" s="14" t="inlineStr">
        <is>
          <t>Nhà cung cấp tươi Phú Quốc</t>
        </is>
      </c>
    </row>
    <row r="44" ht="22" customHeight="1">
      <c r="A44" s="4" t="inlineStr">
        <is>
          <t>NVL53</t>
        </is>
      </c>
      <c r="B44" s="5" t="inlineStr">
        <is>
          <t>Nguyên liệu Heo Massage</t>
        </is>
      </c>
      <c r="C44" s="10" t="inlineStr">
        <is>
          <t>đĩa</t>
        </is>
      </c>
      <c r="D44" s="7" t="n">
        <v>130000</v>
      </c>
      <c r="E44" s="23" t="n">
        <v>50</v>
      </c>
      <c r="F44" s="23" t="n">
        <v>5</v>
      </c>
      <c r="G44" s="6" t="inlineStr">
        <is>
          <t>Nhà cung cấp tươi Phú Quốc</t>
        </is>
      </c>
    </row>
    <row r="45" ht="22" customHeight="1">
      <c r="A45" s="12" t="inlineStr">
        <is>
          <t>NVL54</t>
        </is>
      </c>
      <c r="B45" s="13" t="inlineStr">
        <is>
          <t>Nguyên liệu Má heo</t>
        </is>
      </c>
      <c r="C45" s="18" t="inlineStr">
        <is>
          <t>đĩa</t>
        </is>
      </c>
      <c r="D45" s="15" t="n">
        <v>45000</v>
      </c>
      <c r="E45" s="22" t="n">
        <v>50</v>
      </c>
      <c r="F45" s="22" t="n">
        <v>5</v>
      </c>
      <c r="G45" s="14" t="inlineStr">
        <is>
          <t>Nhà cung cấp tươi Phú Quốc</t>
        </is>
      </c>
    </row>
    <row r="46" ht="22" customHeight="1">
      <c r="A46" s="4" t="inlineStr">
        <is>
          <t>NVL55</t>
        </is>
      </c>
      <c r="B46" s="5" t="inlineStr">
        <is>
          <t>Nguyên liệu Sườn heo</t>
        </is>
      </c>
      <c r="C46" s="10" t="inlineStr">
        <is>
          <t>dĩa</t>
        </is>
      </c>
      <c r="D46" s="7" t="n">
        <v>50000</v>
      </c>
      <c r="E46" s="23" t="n">
        <v>50</v>
      </c>
      <c r="F46" s="23" t="n">
        <v>5</v>
      </c>
      <c r="G46" s="6" t="inlineStr">
        <is>
          <t>Nhà cung cấp tươi Phú Quốc</t>
        </is>
      </c>
    </row>
    <row r="47" ht="22" customHeight="1">
      <c r="A47" s="12" t="inlineStr">
        <is>
          <t>NVL56</t>
        </is>
      </c>
      <c r="B47" s="13" t="inlineStr">
        <is>
          <t>Nguyên liệu Ốc Hương</t>
        </is>
      </c>
      <c r="C47" s="18" t="inlineStr">
        <is>
          <t>đĩa</t>
        </is>
      </c>
      <c r="D47" s="15" t="n">
        <v>50000</v>
      </c>
      <c r="E47" s="22" t="n">
        <v>50</v>
      </c>
      <c r="F47" s="22" t="n">
        <v>5</v>
      </c>
      <c r="G47" s="14" t="inlineStr">
        <is>
          <t>Nhà cung cấp tươi Phú Quốc</t>
        </is>
      </c>
    </row>
    <row r="48" ht="22" customHeight="1">
      <c r="A48" s="4" t="inlineStr">
        <is>
          <t>NVL57</t>
        </is>
      </c>
      <c r="B48" s="5" t="inlineStr">
        <is>
          <t>Nguyên liệu Cá Mú 2 Món</t>
        </is>
      </c>
      <c r="C48" s="10" t="inlineStr">
        <is>
          <t>con</t>
        </is>
      </c>
      <c r="D48" s="7" t="n">
        <v>280000</v>
      </c>
      <c r="E48" s="23" t="n">
        <v>50</v>
      </c>
      <c r="F48" s="23" t="n">
        <v>5</v>
      </c>
      <c r="G48" s="6" t="inlineStr">
        <is>
          <t>Nhà cung cấp tươi Phú Quốc</t>
        </is>
      </c>
    </row>
    <row r="49" ht="22" customHeight="1">
      <c r="A49" s="12" t="inlineStr">
        <is>
          <t>NVL58</t>
        </is>
      </c>
      <c r="B49" s="13" t="inlineStr">
        <is>
          <t>Nguyên liệu Cá chim biển</t>
        </is>
      </c>
      <c r="C49" s="18" t="inlineStr">
        <is>
          <t>con</t>
        </is>
      </c>
      <c r="D49" s="15" t="n">
        <v>80000</v>
      </c>
      <c r="E49" s="22" t="n">
        <v>50</v>
      </c>
      <c r="F49" s="22" t="n">
        <v>5</v>
      </c>
      <c r="G49" s="14" t="inlineStr">
        <is>
          <t>Nhà cung cấp tươi Phú Quốc</t>
        </is>
      </c>
    </row>
    <row r="50" ht="22" customHeight="1">
      <c r="A50" s="4" t="inlineStr">
        <is>
          <t>NVL59</t>
        </is>
      </c>
      <c r="B50" s="5" t="inlineStr">
        <is>
          <t>Nguyên liệu Hàu nướng phô mai / mỡ hành</t>
        </is>
      </c>
      <c r="C50" s="10" t="inlineStr">
        <is>
          <t>con</t>
        </is>
      </c>
      <c r="D50" s="7" t="n">
        <v>7000</v>
      </c>
      <c r="E50" s="23" t="n">
        <v>50</v>
      </c>
      <c r="F50" s="23" t="n">
        <v>5</v>
      </c>
      <c r="G50" s="6" t="inlineStr">
        <is>
          <t>Nhà cung cấp tươi Phú Quốc</t>
        </is>
      </c>
    </row>
    <row r="51" ht="22" customHeight="1">
      <c r="A51" s="12" t="inlineStr">
        <is>
          <t>NVL60</t>
        </is>
      </c>
      <c r="B51" s="13" t="inlineStr">
        <is>
          <t>Nguyên liệu Súp</t>
        </is>
      </c>
      <c r="C51" s="18" t="inlineStr">
        <is>
          <t>phần</t>
        </is>
      </c>
      <c r="D51" s="15" t="n">
        <v>25000</v>
      </c>
      <c r="E51" s="22" t="n">
        <v>50</v>
      </c>
      <c r="F51" s="22" t="n">
        <v>5</v>
      </c>
      <c r="G51" s="14" t="inlineStr">
        <is>
          <t>Nhà cung cấp tươi Phú Quốc</t>
        </is>
      </c>
    </row>
    <row r="52" ht="22" customHeight="1">
      <c r="A52" s="4" t="inlineStr">
        <is>
          <t>NVL61</t>
        </is>
      </c>
      <c r="B52" s="5" t="inlineStr">
        <is>
          <t>Nguyên liệu Súp Cua TomYum</t>
        </is>
      </c>
      <c r="C52" s="10" t="inlineStr">
        <is>
          <t>phần</t>
        </is>
      </c>
      <c r="D52" s="7" t="n">
        <v>40000</v>
      </c>
      <c r="E52" s="23" t="n">
        <v>50</v>
      </c>
      <c r="F52" s="23" t="n">
        <v>5</v>
      </c>
      <c r="G52" s="6" t="inlineStr">
        <is>
          <t>Nhà cung cấp tươi Phú Quốc</t>
        </is>
      </c>
    </row>
    <row r="53" ht="22" customHeight="1">
      <c r="A53" s="12" t="inlineStr">
        <is>
          <t>NVL62</t>
        </is>
      </c>
      <c r="B53" s="13" t="inlineStr">
        <is>
          <t>Nguyên liệu Lẩu Thái Hải Sản</t>
        </is>
      </c>
      <c r="C53" s="18" t="inlineStr">
        <is>
          <t>phần</t>
        </is>
      </c>
      <c r="D53" s="15" t="n">
        <v>90000</v>
      </c>
      <c r="E53" s="22" t="n">
        <v>50</v>
      </c>
      <c r="F53" s="22" t="n">
        <v>5</v>
      </c>
      <c r="G53" s="14" t="inlineStr">
        <is>
          <t>Nhà cung cấp tươi Phú Quốc</t>
        </is>
      </c>
    </row>
    <row r="54" ht="22" customHeight="1">
      <c r="A54" s="4" t="inlineStr">
        <is>
          <t>NVL63</t>
        </is>
      </c>
      <c r="B54" s="5" t="inlineStr">
        <is>
          <t>Nguyên liệu Lẩu Cá Chim / Cá Mú</t>
        </is>
      </c>
      <c r="C54" s="10" t="inlineStr">
        <is>
          <t>con</t>
        </is>
      </c>
      <c r="D54" s="7" t="n">
        <v>95000</v>
      </c>
      <c r="E54" s="23" t="n">
        <v>50</v>
      </c>
      <c r="F54" s="23" t="n">
        <v>5</v>
      </c>
      <c r="G54" s="6" t="inlineStr">
        <is>
          <t>Nhà cung cấp tươi Phú Quốc</t>
        </is>
      </c>
    </row>
    <row r="55" ht="22" customHeight="1">
      <c r="A55" s="12" t="inlineStr">
        <is>
          <t>NVL64</t>
        </is>
      </c>
      <c r="B55" s="13" t="inlineStr">
        <is>
          <t>Nguyên liệu Tôm khô rang muối hạt</t>
        </is>
      </c>
      <c r="C55" s="18" t="inlineStr">
        <is>
          <t>dĩa</t>
        </is>
      </c>
      <c r="D55" s="15" t="n">
        <v>55000</v>
      </c>
      <c r="E55" s="22" t="n">
        <v>50</v>
      </c>
      <c r="F55" s="22" t="n">
        <v>5</v>
      </c>
      <c r="G55" s="14" t="inlineStr">
        <is>
          <t>Nhà cung cấp tươi Phú Quốc</t>
        </is>
      </c>
    </row>
    <row r="56" ht="22" customHeight="1">
      <c r="A56" s="4" t="inlineStr">
        <is>
          <t>NVL65</t>
        </is>
      </c>
      <c r="B56" s="5" t="inlineStr">
        <is>
          <t>Nguyên liệu Khô Mực Núp Lùm</t>
        </is>
      </c>
      <c r="C56" s="10" t="inlineStr">
        <is>
          <t>dĩa</t>
        </is>
      </c>
      <c r="D56" s="7" t="n">
        <v>50000</v>
      </c>
      <c r="E56" s="23" t="n">
        <v>50</v>
      </c>
      <c r="F56" s="23" t="n">
        <v>5</v>
      </c>
      <c r="G56" s="6" t="inlineStr">
        <is>
          <t>Nhà cung cấp tươi Phú Quốc</t>
        </is>
      </c>
    </row>
    <row r="57" ht="22" customHeight="1">
      <c r="A57" s="12" t="inlineStr">
        <is>
          <t>NVL66</t>
        </is>
      </c>
      <c r="B57" s="13" t="inlineStr">
        <is>
          <t>Nguyên liệu Cơm Chiên Tôm X.O</t>
        </is>
      </c>
      <c r="C57" s="18" t="inlineStr">
        <is>
          <t>dĩa</t>
        </is>
      </c>
      <c r="D57" s="15" t="n">
        <v>55000</v>
      </c>
      <c r="E57" s="22" t="n">
        <v>50</v>
      </c>
      <c r="F57" s="22" t="n">
        <v>5</v>
      </c>
      <c r="G57" s="14" t="inlineStr">
        <is>
          <t>Nhà cung cấp tươi Phú Quốc</t>
        </is>
      </c>
    </row>
  </sheetData>
  <autoFilter ref="A2:G57"/>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showGridLines="1" workbookViewId="0">
      <selection activeCell="A1" sqref="A1"/>
    </sheetView>
  </sheetViews>
  <sheetFormatPr baseColWidth="8" defaultRowHeight="15"/>
  <cols>
    <col width="28" customWidth="1" min="1" max="1"/>
    <col width="90" customWidth="1" min="2" max="2"/>
  </cols>
  <sheetData>
    <row r="1" ht="36" customHeight="1">
      <c r="A1" s="24" t="inlineStr">
        <is>
          <t>HƯỚNG DẪN CHỈNH SỬA &amp; QUY TRÌNH CẬP NHẬT MENU HÀNG LOẠT</t>
        </is>
      </c>
    </row>
    <row r="2" ht="28" customHeight="1">
      <c r="A2" s="25" t="inlineStr">
        <is>
          <t>Hạng mục / Cột dữ liệu</t>
        </is>
      </c>
      <c r="B2" s="25" t="inlineStr">
        <is>
          <t>Hướng dẫn chi tiết &amp; Lưu ý quan trọng</t>
        </is>
      </c>
    </row>
    <row r="3" ht="28" customHeight="1">
      <c r="A3" s="13" t="inlineStr">
        <is>
          <t>1. Cột 'Mã món (ID)'</t>
        </is>
      </c>
      <c r="B3" s="14" t="inlineStr">
        <is>
          <t>Tuyệt đối giữ nguyên mã số này đối với các món đã có. Hệ thống sẽ căn cứ vào ID này để cập nhật giá, vị, ảnh chính xác 100% vào cơ sở dữ liệu.</t>
        </is>
      </c>
    </row>
    <row r="4" ht="28" customHeight="1">
      <c r="A4" s="5" t="inlineStr">
        <is>
          <t>2. Cột 'Nhóm món'</t>
        </is>
      </c>
      <c r="B4" s="6" t="inlineStr">
        <is>
          <t>Có thể chọn 1 trong các nhóm chuẩn: Khai Vị, Gà - Vịt, Heo - Bò, Hải Sản, Cơm - Mì, Đồ Uống, Hot BBQ, Dịch Vụ Sân Pickleball.</t>
        </is>
      </c>
    </row>
    <row r="5" ht="28" customHeight="1">
      <c r="A5" s="13" t="inlineStr">
        <is>
          <t>3. Cột 'Tên món ăn'</t>
        </is>
      </c>
      <c r="B5" s="14" t="inlineStr">
        <is>
          <t>Gõ tên hiển thị mong muốn trên menu POS và Menu QR của khách hàng.</t>
        </is>
      </c>
    </row>
    <row r="6" ht="42" customHeight="1">
      <c r="A6" s="5" t="inlineStr">
        <is>
          <t>4. Cột 'Vị / Cách chế biến'</t>
        </is>
      </c>
      <c r="B6" s="6" t="inlineStr">
        <is>
          <t>Ghi các tùy chọn cách chế biến khách có thể chọn khi gọi món. Cách nhau bởi dấu phẩy.
Ví dụ: Nướng muối ớt, Hấp mắm nhĩ, Chiên mắm, Lẩu thuốc bắc.
Nếu món không có vị tùy chọn, ghi 'Tiêu chuẩn'.</t>
        </is>
      </c>
    </row>
    <row r="7" ht="28" customHeight="1">
      <c r="A7" s="13" t="inlineStr">
        <is>
          <t>5. Cột 'Quy cách / Định lượng'</t>
        </is>
      </c>
      <c r="B7" s="14" t="inlineStr">
        <is>
          <t>Mô tả phần ăn hiển thị cho khách và bếp (Ví dụ: Gà 1 con 1.3kg, Đĩa 300g, 1 lon 320ml, 1 giờ...).</t>
        </is>
      </c>
    </row>
    <row r="8" ht="28" customHeight="1">
      <c r="A8" s="5" t="inlineStr">
        <is>
          <t>6. Cột 'Giá bán (VNĐ)'</t>
        </is>
      </c>
      <c r="B8" s="6" t="inlineStr">
        <is>
          <t>Nhập số tiền bán thực tế (ví dụ: 99000, 350000). Không cần nhập chữ 'đ'.</t>
        </is>
      </c>
    </row>
    <row r="9" ht="42" customHeight="1">
      <c r="A9" s="13" t="inlineStr">
        <is>
          <t>7. Cột 'Quầy chế biến'</t>
        </is>
      </c>
      <c r="B9" s="14" t="inlineStr">
        <is>
          <t>Nhập một trong các quầy sau để máy in chia đúng trạm:
- Bếp Nóng (Món xào, nướng, lẩu, chiên -&gt; In máy bếp 251)
- Bếp Lạnh (Món gỏi, salad -&gt; In quầy thu ngân 252)
- Quầy Bar (Bia, nước ngọt, trà, nước ép -&gt; In quầy thu ngân 252)
- Sân Pickleball (Dịch vụ sân, thuê vợt, bóng -&gt; Quầy sân pick 252)</t>
        </is>
      </c>
    </row>
    <row r="10" ht="42" customHeight="1">
      <c r="A10" s="5" t="inlineStr">
        <is>
          <t>8. Cột 'Tên file ảnh trong folder'</t>
        </is>
      </c>
      <c r="B10" s="6" t="inlineStr">
        <is>
          <t>Tên file ảnh tương ứng đặt trong thư mục: d:\AI\Restaurant\app\static\dishes\
Ví dụ: ga_nuong_muoi_ot.jpg, bo_xuyen_tieu.jpg, nuoc_suoi.jpg.
Bạn chỉ cần copy ảnh vào thư mục đó và ghi tên file ảnh vào cột này.</t>
        </is>
      </c>
    </row>
    <row r="11" ht="28" customHeight="1">
      <c r="A11" s="13" t="inlineStr">
        <is>
          <t>9. Thêm món mới vào menu</t>
        </is>
      </c>
      <c r="B11" s="14" t="inlineStr">
        <is>
          <t>Nếu muốn thêm món mới: Thêm dòng mới ở cuối bảng, cột 'Mã món (ID)' để chữ 'MỚI' hoặc để trống, điền đủ Tên món, Nhóm, Giá, Ảnh...</t>
        </is>
      </c>
    </row>
    <row r="12" ht="28" customHeight="1">
      <c r="A12" s="5" t="inlineStr">
        <is>
          <t>10. Sau khi chỉnh sửa xong</t>
        </is>
      </c>
      <c r="B12" s="6" t="inlineStr">
        <is>
          <t>Lưu file Excel lại và thông báo cho Antigravity. Hệ thống sẽ tự động đọc file và nạp toàn bộ menu mới vào CSDL máy Thu ngân &amp; tự động Deploy lên Cloud pipogarden.com ngay lập tức!</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2026-10-26T04:59:35Z</dcterms:created>
  <dcterms:modified xmlns:dcterms="http://purl.org/dc/terms/" xmlns:xsi="http://www.w3.org/2001/XMLSchema-instance" xsi:type="dcterms:W3CDTF">2026-10-26T04:59:35Z</dcterms:modified>
</cp:coreProperties>
</file>